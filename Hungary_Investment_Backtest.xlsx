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2_个人品牌\项目3_Tableau福林投资\GPT\"/>
    </mc:Choice>
  </mc:AlternateContent>
  <xr:revisionPtr revIDLastSave="0" documentId="13_ncr:1_{79FBDBB5-B456-4323-A390-72273C7ED99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Monthly_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4" i="1"/>
  <c r="L2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2" i="1"/>
  <c r="J9" i="1"/>
  <c r="B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B82" i="1" s="1"/>
  <c r="J14" i="1" l="1"/>
  <c r="K14" i="1" s="1"/>
  <c r="L14" i="1" s="1"/>
  <c r="J18" i="1"/>
  <c r="K18" i="1" s="1"/>
  <c r="L18" i="1" s="1"/>
  <c r="K9" i="1"/>
  <c r="L9" i="1" s="1"/>
  <c r="J17" i="1"/>
  <c r="K17" i="1" s="1"/>
  <c r="L17" i="1" s="1"/>
  <c r="J12" i="1"/>
  <c r="K12" i="1" s="1"/>
  <c r="L12" i="1" s="1"/>
  <c r="J10" i="1"/>
  <c r="K10" i="1" s="1"/>
  <c r="L10" i="1" s="1"/>
  <c r="J16" i="1"/>
  <c r="K16" i="1" s="1"/>
  <c r="L16" i="1" s="1"/>
  <c r="J11" i="1"/>
  <c r="K11" i="1" s="1"/>
  <c r="L11" i="1" s="1"/>
  <c r="J20" i="1"/>
  <c r="J15" i="1"/>
  <c r="K15" i="1" s="1"/>
  <c r="L15" i="1" s="1"/>
  <c r="J19" i="1"/>
  <c r="K19" i="1" s="1"/>
  <c r="L19" i="1" s="1"/>
  <c r="J13" i="1"/>
  <c r="K13" i="1" s="1"/>
  <c r="L13" i="1" s="1"/>
  <c r="B78" i="1"/>
  <c r="B70" i="1"/>
  <c r="B66" i="1"/>
  <c r="B58" i="1"/>
  <c r="B50" i="1"/>
  <c r="B46" i="1"/>
  <c r="B42" i="1"/>
  <c r="B38" i="1"/>
  <c r="B34" i="1"/>
  <c r="B30" i="1"/>
  <c r="B26" i="1"/>
  <c r="B22" i="1"/>
  <c r="B18" i="1"/>
  <c r="B14" i="1"/>
  <c r="B10" i="1"/>
  <c r="B6" i="1"/>
  <c r="B81" i="1"/>
  <c r="B77" i="1"/>
  <c r="B73" i="1"/>
  <c r="B69" i="1"/>
  <c r="B65" i="1"/>
  <c r="B61" i="1"/>
  <c r="B57" i="1"/>
  <c r="B53" i="1"/>
  <c r="B49" i="1"/>
  <c r="B45" i="1"/>
  <c r="B41" i="1"/>
  <c r="B37" i="1"/>
  <c r="B33" i="1"/>
  <c r="B29" i="1"/>
  <c r="B25" i="1"/>
  <c r="B21" i="1"/>
  <c r="B17" i="1"/>
  <c r="B13" i="1"/>
  <c r="B9" i="1"/>
  <c r="B5" i="1"/>
  <c r="B80" i="1"/>
  <c r="B76" i="1"/>
  <c r="B72" i="1"/>
  <c r="B68" i="1"/>
  <c r="B64" i="1"/>
  <c r="B60" i="1"/>
  <c r="B56" i="1"/>
  <c r="B52" i="1"/>
  <c r="B48" i="1"/>
  <c r="B44" i="1"/>
  <c r="B40" i="1"/>
  <c r="B36" i="1"/>
  <c r="B32" i="1"/>
  <c r="B28" i="1"/>
  <c r="B24" i="1"/>
  <c r="B20" i="1"/>
  <c r="B16" i="1"/>
  <c r="B12" i="1"/>
  <c r="B8" i="1"/>
  <c r="B4" i="1"/>
  <c r="B74" i="1"/>
  <c r="B62" i="1"/>
  <c r="B54" i="1"/>
  <c r="B79" i="1"/>
  <c r="B75" i="1"/>
  <c r="B71" i="1"/>
  <c r="B67" i="1"/>
  <c r="B63" i="1"/>
  <c r="B59" i="1"/>
  <c r="B55" i="1"/>
  <c r="B51" i="1"/>
  <c r="B47" i="1"/>
  <c r="B43" i="1"/>
  <c r="B39" i="1"/>
  <c r="B35" i="1"/>
  <c r="B31" i="1"/>
  <c r="B27" i="1"/>
  <c r="B23" i="1"/>
  <c r="B19" i="1"/>
  <c r="B15" i="1"/>
  <c r="B11" i="1"/>
  <c r="B7" i="1"/>
  <c r="B3" i="1"/>
  <c r="K20" i="1" l="1"/>
  <c r="L20" i="1" s="1"/>
  <c r="J21" i="1"/>
  <c r="J25" i="1" l="1"/>
  <c r="K25" i="1" s="1"/>
  <c r="L25" i="1" s="1"/>
  <c r="J29" i="1"/>
  <c r="K29" i="1" s="1"/>
  <c r="L29" i="1" s="1"/>
  <c r="J22" i="1"/>
  <c r="K22" i="1" s="1"/>
  <c r="L22" i="1" s="1"/>
  <c r="K21" i="1"/>
  <c r="L21" i="1" s="1"/>
  <c r="J26" i="1"/>
  <c r="K26" i="1" s="1"/>
  <c r="L26" i="1" s="1"/>
  <c r="J31" i="1"/>
  <c r="K31" i="1" s="1"/>
  <c r="L31" i="1" s="1"/>
  <c r="J27" i="1"/>
  <c r="K27" i="1" s="1"/>
  <c r="L27" i="1" s="1"/>
  <c r="J32" i="1"/>
  <c r="J23" i="1"/>
  <c r="K23" i="1" s="1"/>
  <c r="L23" i="1" s="1"/>
  <c r="J28" i="1"/>
  <c r="K28" i="1" s="1"/>
  <c r="L28" i="1" s="1"/>
  <c r="J24" i="1"/>
  <c r="K24" i="1" s="1"/>
  <c r="L24" i="1" s="1"/>
  <c r="J30" i="1"/>
  <c r="K30" i="1" s="1"/>
  <c r="L30" i="1" s="1"/>
  <c r="K32" i="1" l="1"/>
  <c r="L32" i="1" s="1"/>
  <c r="J33" i="1"/>
  <c r="J37" i="1" l="1"/>
  <c r="K37" i="1" s="1"/>
  <c r="L37" i="1" s="1"/>
  <c r="J41" i="1"/>
  <c r="K41" i="1" s="1"/>
  <c r="L41" i="1" s="1"/>
  <c r="J34" i="1"/>
  <c r="K34" i="1" s="1"/>
  <c r="L34" i="1" s="1"/>
  <c r="K33" i="1"/>
  <c r="L33" i="1" s="1"/>
  <c r="J39" i="1"/>
  <c r="K39" i="1" s="1"/>
  <c r="L39" i="1" s="1"/>
  <c r="J44" i="1"/>
  <c r="J35" i="1"/>
  <c r="K35" i="1" s="1"/>
  <c r="L35" i="1" s="1"/>
  <c r="J40" i="1"/>
  <c r="K40" i="1" s="1"/>
  <c r="L40" i="1" s="1"/>
  <c r="J36" i="1"/>
  <c r="K36" i="1" s="1"/>
  <c r="L36" i="1" s="1"/>
  <c r="J42" i="1"/>
  <c r="K42" i="1" s="1"/>
  <c r="L42" i="1" s="1"/>
  <c r="J38" i="1"/>
  <c r="K38" i="1" s="1"/>
  <c r="L38" i="1" s="1"/>
  <c r="J43" i="1"/>
  <c r="K43" i="1" s="1"/>
  <c r="L43" i="1" s="1"/>
  <c r="K44" i="1" l="1"/>
  <c r="L44" i="1" s="1"/>
  <c r="J45" i="1"/>
  <c r="J49" i="1" l="1"/>
  <c r="K49" i="1" s="1"/>
  <c r="L49" i="1" s="1"/>
  <c r="J53" i="1"/>
  <c r="K53" i="1" s="1"/>
  <c r="L53" i="1" s="1"/>
  <c r="J46" i="1"/>
  <c r="K46" i="1" s="1"/>
  <c r="L46" i="1" s="1"/>
  <c r="J47" i="1"/>
  <c r="K47" i="1" s="1"/>
  <c r="L47" i="1" s="1"/>
  <c r="J52" i="1"/>
  <c r="K52" i="1" s="1"/>
  <c r="L52" i="1" s="1"/>
  <c r="J48" i="1"/>
  <c r="K48" i="1" s="1"/>
  <c r="L48" i="1" s="1"/>
  <c r="J54" i="1"/>
  <c r="K54" i="1" s="1"/>
  <c r="L54" i="1" s="1"/>
  <c r="J50" i="1"/>
  <c r="K50" i="1" s="1"/>
  <c r="L50" i="1" s="1"/>
  <c r="J55" i="1"/>
  <c r="K55" i="1" s="1"/>
  <c r="L55" i="1" s="1"/>
  <c r="K45" i="1"/>
  <c r="L45" i="1" s="1"/>
  <c r="J51" i="1"/>
  <c r="K51" i="1" s="1"/>
  <c r="L51" i="1" s="1"/>
  <c r="J56" i="1"/>
  <c r="K56" i="1" l="1"/>
  <c r="L56" i="1" s="1"/>
  <c r="J57" i="1"/>
  <c r="J61" i="1" l="1"/>
  <c r="K61" i="1" s="1"/>
  <c r="L61" i="1" s="1"/>
  <c r="J65" i="1"/>
  <c r="K65" i="1" s="1"/>
  <c r="L65" i="1" s="1"/>
  <c r="J58" i="1"/>
  <c r="K58" i="1" s="1"/>
  <c r="L58" i="1" s="1"/>
  <c r="K57" i="1"/>
  <c r="L57" i="1" s="1"/>
  <c r="J60" i="1"/>
  <c r="K60" i="1" s="1"/>
  <c r="L60" i="1" s="1"/>
  <c r="J66" i="1"/>
  <c r="K66" i="1" s="1"/>
  <c r="L66" i="1" s="1"/>
  <c r="J62" i="1"/>
  <c r="K62" i="1" s="1"/>
  <c r="L62" i="1" s="1"/>
  <c r="J67" i="1"/>
  <c r="K67" i="1" s="1"/>
  <c r="L67" i="1" s="1"/>
  <c r="J63" i="1"/>
  <c r="K63" i="1" s="1"/>
  <c r="L63" i="1" s="1"/>
  <c r="J68" i="1"/>
  <c r="J59" i="1"/>
  <c r="K59" i="1" s="1"/>
  <c r="L59" i="1" s="1"/>
  <c r="J64" i="1"/>
  <c r="K64" i="1" s="1"/>
  <c r="L64" i="1" s="1"/>
  <c r="K68" i="1" l="1"/>
  <c r="L68" i="1" s="1"/>
  <c r="J69" i="1"/>
  <c r="J73" i="1" l="1"/>
  <c r="K73" i="1" s="1"/>
  <c r="L73" i="1" s="1"/>
  <c r="J77" i="1"/>
  <c r="K77" i="1" s="1"/>
  <c r="L77" i="1" s="1"/>
  <c r="J70" i="1"/>
  <c r="K70" i="1" s="1"/>
  <c r="L70" i="1" s="1"/>
  <c r="J74" i="1"/>
  <c r="K74" i="1" s="1"/>
  <c r="L74" i="1" s="1"/>
  <c r="J79" i="1"/>
  <c r="K79" i="1" s="1"/>
  <c r="L79" i="1" s="1"/>
  <c r="K69" i="1"/>
  <c r="L69" i="1" s="1"/>
  <c r="J75" i="1"/>
  <c r="K75" i="1" s="1"/>
  <c r="L75" i="1" s="1"/>
  <c r="J80" i="1"/>
  <c r="J71" i="1"/>
  <c r="K71" i="1" s="1"/>
  <c r="L71" i="1" s="1"/>
  <c r="J76" i="1"/>
  <c r="K76" i="1" s="1"/>
  <c r="L76" i="1" s="1"/>
  <c r="J72" i="1"/>
  <c r="K72" i="1" s="1"/>
  <c r="L72" i="1" s="1"/>
  <c r="J78" i="1"/>
  <c r="K78" i="1" s="1"/>
  <c r="L78" i="1" s="1"/>
  <c r="K80" i="1" l="1"/>
  <c r="L80" i="1" s="1"/>
  <c r="J81" i="1"/>
  <c r="J82" i="1" l="1"/>
  <c r="K82" i="1" s="1"/>
  <c r="L82" i="1" s="1"/>
  <c r="K81" i="1"/>
  <c r="L81" i="1" s="1"/>
</calcChain>
</file>

<file path=xl/sharedStrings.xml><?xml version="1.0" encoding="utf-8"?>
<sst xmlns="http://schemas.openxmlformats.org/spreadsheetml/2006/main" count="93" uniqueCount="24">
  <si>
    <t>Date</t>
  </si>
  <si>
    <t>Year</t>
  </si>
  <si>
    <t>Month_Index</t>
  </si>
  <si>
    <t>EUR_Rate</t>
  </si>
  <si>
    <t>Inflation</t>
  </si>
  <si>
    <t>Base_Income</t>
  </si>
  <si>
    <t>Month</t>
    <phoneticPr fontId="2" type="noConversion"/>
  </si>
  <si>
    <t>Jun</t>
    <phoneticPr fontId="2" type="noConversion"/>
  </si>
  <si>
    <t>Jul</t>
    <phoneticPr fontId="2" type="noConversion"/>
  </si>
  <si>
    <t>Aug</t>
    <phoneticPr fontId="2" type="noConversion"/>
  </si>
  <si>
    <t>Sep</t>
    <phoneticPr fontId="2" type="noConversion"/>
  </si>
  <si>
    <t>Oct</t>
    <phoneticPr fontId="2" type="noConversion"/>
  </si>
  <si>
    <t>Nov</t>
    <phoneticPr fontId="2" type="noConversion"/>
  </si>
  <si>
    <t>Dec</t>
    <phoneticPr fontId="2" type="noConversion"/>
  </si>
  <si>
    <t>Jan</t>
    <phoneticPr fontId="2" type="noConversion"/>
  </si>
  <si>
    <t>Feb</t>
    <phoneticPr fontId="2" type="noConversion"/>
  </si>
  <si>
    <t>Mar</t>
    <phoneticPr fontId="2" type="noConversion"/>
  </si>
  <si>
    <t>Apr</t>
    <phoneticPr fontId="2" type="noConversion"/>
  </si>
  <si>
    <t>May</t>
    <phoneticPr fontId="2" type="noConversion"/>
  </si>
  <si>
    <t>Expense</t>
    <phoneticPr fontId="2" type="noConversion"/>
  </si>
  <si>
    <t>Saving</t>
    <phoneticPr fontId="2" type="noConversion"/>
  </si>
  <si>
    <t>Saving rate</t>
    <phoneticPr fontId="2" type="noConversion"/>
  </si>
  <si>
    <t>Rate MA3</t>
    <phoneticPr fontId="2" type="noConversion"/>
  </si>
  <si>
    <t>EUR Convert%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</si>
</sst>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0.0_ "/>
    <numFmt numFmtId="177" formatCode="#,##0_ "/>
    <numFmt numFmtId="178" formatCode="_ * #,##0_ ;_ * \-#,##0_ ;_ * &quot;-&quot;??_ ;_ @_ "/>
    <numFmt numFmtId="179" formatCode="0.0%"/>
    <numFmt numFmtId="181" formatCode="_ * #,##0.0_ ;_ * \-#,##0.0_ ;_ * &quot;-&quot;??_ ;_ @_ "/>
  </numFmts>
  <fonts count="8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name val="等线"/>
      <family val="2"/>
      <scheme val="minor"/>
    </font>
    <font>
      <b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78" fontId="0" fillId="0" borderId="0" xfId="1" applyNumberFormat="1" applyFont="1" applyAlignment="1"/>
    <xf numFmtId="0" fontId="5" fillId="0" borderId="0" xfId="0" applyFont="1" applyAlignment="1">
      <alignment vertical="center" wrapText="1" readingOrder="1"/>
    </xf>
    <xf numFmtId="17" fontId="5" fillId="0" borderId="0" xfId="0" applyNumberFormat="1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179" fontId="1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/>
    </xf>
    <xf numFmtId="178" fontId="1" fillId="0" borderId="0" xfId="1" applyNumberFormat="1" applyFont="1" applyAlignment="1">
      <alignment horizontal="center" vertical="center"/>
    </xf>
    <xf numFmtId="178" fontId="1" fillId="0" borderId="0" xfId="1" applyNumberFormat="1" applyFont="1" applyAlignment="1"/>
    <xf numFmtId="9" fontId="0" fillId="0" borderId="0" xfId="0" applyNumberFormat="1" applyAlignment="1">
      <alignment horizontal="center"/>
    </xf>
    <xf numFmtId="181" fontId="0" fillId="0" borderId="0" xfId="1" applyNumberFormat="1" applyFont="1" applyAlignment="1"/>
    <xf numFmtId="181" fontId="1" fillId="2" borderId="0" xfId="1" applyNumberFormat="1" applyFont="1" applyFill="1" applyAlignment="1">
      <alignment horizontal="center" vertical="center"/>
    </xf>
    <xf numFmtId="179" fontId="6" fillId="0" borderId="0" xfId="2" applyNumberFormat="1" applyFont="1" applyAlignment="1"/>
    <xf numFmtId="181" fontId="7" fillId="2" borderId="0" xfId="1" applyNumberFormat="1" applyFont="1" applyFill="1" applyAlignment="1">
      <alignment horizontal="center" vertical="center"/>
    </xf>
  </cellXfs>
  <cellStyles count="3">
    <cellStyle name="百分比" xfId="2" builtinId="5"/>
    <cellStyle name="常规" xfId="0" builtinId="0"/>
    <cellStyle name="千位分隔" xfId="1" builtinId="3"/>
  </cellStyles>
  <dxfs count="3"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"/>
  <sheetViews>
    <sheetView tabSelected="1" topLeftCell="B1" workbookViewId="0">
      <selection activeCell="N6" sqref="N6"/>
    </sheetView>
  </sheetViews>
  <sheetFormatPr defaultRowHeight="14" x14ac:dyDescent="0.3"/>
  <cols>
    <col min="1" max="1" width="10.58203125" style="7" customWidth="1"/>
    <col min="2" max="2" width="8.6640625" style="6"/>
    <col min="3" max="3" width="12.1640625" style="6" customWidth="1"/>
    <col min="4" max="4" width="9" bestFit="1" customWidth="1"/>
    <col min="5" max="5" width="9" style="17" customWidth="1"/>
    <col min="6" max="6" width="12.5" style="17" customWidth="1"/>
    <col min="7" max="7" width="8.6640625" style="13"/>
    <col min="8" max="8" width="11.9140625" bestFit="1" customWidth="1"/>
    <col min="9" max="9" width="8.6640625" style="6"/>
    <col min="10" max="10" width="11.08203125" style="8" bestFit="1" customWidth="1"/>
    <col min="12" max="12" width="11.83203125" bestFit="1" customWidth="1"/>
    <col min="16" max="16" width="11.83203125" bestFit="1" customWidth="1"/>
  </cols>
  <sheetData>
    <row r="1" spans="1:19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0" t="s">
        <v>22</v>
      </c>
      <c r="F1" s="18" t="s">
        <v>23</v>
      </c>
      <c r="G1" s="12" t="s">
        <v>4</v>
      </c>
      <c r="H1" s="2" t="s">
        <v>5</v>
      </c>
      <c r="I1" s="1" t="s">
        <v>6</v>
      </c>
      <c r="J1" s="14" t="s">
        <v>19</v>
      </c>
      <c r="K1" s="1" t="s">
        <v>20</v>
      </c>
      <c r="L1" s="1" t="s">
        <v>21</v>
      </c>
    </row>
    <row r="2" spans="1:19" x14ac:dyDescent="0.3">
      <c r="A2" s="7">
        <v>43617</v>
      </c>
      <c r="B2" s="6">
        <f>YEAR(A2)</f>
        <v>2019</v>
      </c>
      <c r="C2" s="6">
        <v>1</v>
      </c>
      <c r="D2" s="4">
        <v>322.20999999999998</v>
      </c>
      <c r="G2" s="13">
        <v>3.4000000000000002E-2</v>
      </c>
      <c r="H2" s="5">
        <v>494400</v>
      </c>
      <c r="I2" s="6" t="s">
        <v>7</v>
      </c>
      <c r="J2" s="15">
        <v>200000</v>
      </c>
      <c r="K2" s="5">
        <f>H2-J2</f>
        <v>294400</v>
      </c>
      <c r="L2" s="16">
        <f>K2/H2</f>
        <v>0.59546925566343045</v>
      </c>
      <c r="M2" s="9"/>
      <c r="N2" s="9"/>
      <c r="O2" s="9"/>
      <c r="P2" s="9"/>
      <c r="Q2" s="9"/>
      <c r="R2" s="9"/>
    </row>
    <row r="3" spans="1:19" x14ac:dyDescent="0.3">
      <c r="A3" s="7">
        <f>EDATE(A2,1)</f>
        <v>43647</v>
      </c>
      <c r="B3" s="6">
        <f t="shared" ref="B3:B66" si="0">YEAR(A3)</f>
        <v>2019</v>
      </c>
      <c r="C3" s="6">
        <v>2</v>
      </c>
      <c r="D3" s="4">
        <v>325.02999999999997</v>
      </c>
      <c r="G3" s="13">
        <v>3.3000000000000002E-2</v>
      </c>
      <c r="H3" s="5">
        <v>494400</v>
      </c>
      <c r="I3" s="6" t="s">
        <v>8</v>
      </c>
      <c r="J3" s="8">
        <v>200000</v>
      </c>
      <c r="K3" s="5">
        <f t="shared" ref="K3:K66" si="1">H3-J3</f>
        <v>294400</v>
      </c>
      <c r="L3" s="16">
        <f t="shared" ref="L3:L66" si="2">K3/H3</f>
        <v>0.59546925566343045</v>
      </c>
      <c r="M3" s="11"/>
      <c r="N3" s="10"/>
      <c r="O3" s="11"/>
      <c r="P3" s="11"/>
      <c r="Q3" s="10"/>
      <c r="R3" s="11"/>
      <c r="S3" s="11"/>
    </row>
    <row r="4" spans="1:19" x14ac:dyDescent="0.3">
      <c r="A4" s="7">
        <f>EDATE(A3,1)</f>
        <v>43678</v>
      </c>
      <c r="B4" s="6">
        <f t="shared" si="0"/>
        <v>2019</v>
      </c>
      <c r="C4" s="6">
        <v>3</v>
      </c>
      <c r="D4" s="4">
        <v>326.52999999999997</v>
      </c>
      <c r="E4" s="17">
        <f>AVERAGE(D2:D4)</f>
        <v>324.58999999999997</v>
      </c>
      <c r="F4" s="19">
        <f>IF((D4-E4)/D4&gt;0,(D4-E4)/D4,0)</f>
        <v>5.9412611398646309E-3</v>
      </c>
      <c r="G4" s="13">
        <v>3.2000000000000001E-2</v>
      </c>
      <c r="H4" s="5">
        <v>494400</v>
      </c>
      <c r="I4" s="6" t="s">
        <v>9</v>
      </c>
      <c r="J4" s="8">
        <v>200000</v>
      </c>
      <c r="K4" s="5">
        <f t="shared" si="1"/>
        <v>294400</v>
      </c>
      <c r="L4" s="16">
        <f t="shared" si="2"/>
        <v>0.59546925566343045</v>
      </c>
      <c r="M4" s="11"/>
      <c r="N4" s="10"/>
      <c r="O4" s="11"/>
      <c r="P4" s="11"/>
      <c r="Q4" s="10"/>
      <c r="R4" s="11"/>
      <c r="S4" s="11"/>
    </row>
    <row r="5" spans="1:19" x14ac:dyDescent="0.3">
      <c r="A5" s="7">
        <f>EDATE(A4,1)</f>
        <v>43709</v>
      </c>
      <c r="B5" s="6">
        <f t="shared" si="0"/>
        <v>2019</v>
      </c>
      <c r="C5" s="6">
        <v>4</v>
      </c>
      <c r="D5" s="4">
        <v>332.13</v>
      </c>
      <c r="E5" s="17">
        <f t="shared" ref="E5:E68" si="3">AVERAGE(D3:D5)</f>
        <v>327.89666666666665</v>
      </c>
      <c r="F5" s="19">
        <f t="shared" ref="F5:F68" si="4">IF((D5-E5)/D5&gt;0,(D5-E5)/D5,0)</f>
        <v>1.2746013107317461E-2</v>
      </c>
      <c r="G5" s="13">
        <v>2.8000000000000001E-2</v>
      </c>
      <c r="H5" s="5">
        <v>494400</v>
      </c>
      <c r="I5" s="6" t="s">
        <v>10</v>
      </c>
      <c r="J5" s="8">
        <v>200000</v>
      </c>
      <c r="K5" s="5">
        <f t="shared" si="1"/>
        <v>294400</v>
      </c>
      <c r="L5" s="16">
        <f t="shared" si="2"/>
        <v>0.59546925566343045</v>
      </c>
      <c r="M5" s="11"/>
      <c r="N5" s="10"/>
      <c r="O5" s="11"/>
      <c r="P5" s="11"/>
      <c r="Q5" s="10"/>
      <c r="R5" s="11"/>
      <c r="S5" s="11"/>
    </row>
    <row r="6" spans="1:19" x14ac:dyDescent="0.3">
      <c r="A6" s="7">
        <f>EDATE(A5,1)</f>
        <v>43739</v>
      </c>
      <c r="B6" s="6">
        <f t="shared" si="0"/>
        <v>2019</v>
      </c>
      <c r="C6" s="6">
        <v>5</v>
      </c>
      <c r="D6" s="4">
        <v>331.05</v>
      </c>
      <c r="E6" s="17">
        <f t="shared" si="3"/>
        <v>329.90333333333336</v>
      </c>
      <c r="F6" s="19">
        <f t="shared" si="4"/>
        <v>3.4637265267078898E-3</v>
      </c>
      <c r="G6" s="13">
        <v>2.9000000000000001E-2</v>
      </c>
      <c r="H6" s="5">
        <v>494400</v>
      </c>
      <c r="I6" s="6" t="s">
        <v>11</v>
      </c>
      <c r="J6" s="8">
        <v>200000</v>
      </c>
      <c r="K6" s="5">
        <f t="shared" si="1"/>
        <v>294400</v>
      </c>
      <c r="L6" s="16">
        <f t="shared" si="2"/>
        <v>0.59546925566343045</v>
      </c>
      <c r="M6" s="11"/>
      <c r="N6" s="10"/>
      <c r="O6" s="11"/>
      <c r="P6" s="11"/>
      <c r="Q6" s="10"/>
      <c r="R6" s="11"/>
      <c r="S6" s="11"/>
    </row>
    <row r="7" spans="1:19" x14ac:dyDescent="0.3">
      <c r="A7" s="7">
        <f t="shared" ref="A7:A16" si="5">EDATE(A6,1)</f>
        <v>43770</v>
      </c>
      <c r="B7" s="6">
        <f t="shared" si="0"/>
        <v>2019</v>
      </c>
      <c r="C7" s="6">
        <v>6</v>
      </c>
      <c r="D7" s="4">
        <v>333.08</v>
      </c>
      <c r="E7" s="17">
        <f t="shared" si="3"/>
        <v>332.08666666666664</v>
      </c>
      <c r="F7" s="19">
        <f t="shared" si="4"/>
        <v>2.9822665225571619E-3</v>
      </c>
      <c r="G7" s="13">
        <v>3.4000000000000002E-2</v>
      </c>
      <c r="H7" s="5">
        <v>494400</v>
      </c>
      <c r="I7" s="6" t="s">
        <v>12</v>
      </c>
      <c r="J7" s="8">
        <v>200000</v>
      </c>
      <c r="K7" s="5">
        <f t="shared" si="1"/>
        <v>294400</v>
      </c>
      <c r="L7" s="16">
        <f t="shared" si="2"/>
        <v>0.59546925566343045</v>
      </c>
      <c r="M7" s="11"/>
      <c r="N7" s="10"/>
      <c r="O7" s="11"/>
      <c r="P7" s="11"/>
      <c r="Q7" s="10"/>
      <c r="R7" s="11"/>
      <c r="S7" s="11"/>
    </row>
    <row r="8" spans="1:19" x14ac:dyDescent="0.3">
      <c r="A8" s="7">
        <f t="shared" si="5"/>
        <v>43800</v>
      </c>
      <c r="B8" s="6">
        <f t="shared" si="0"/>
        <v>2019</v>
      </c>
      <c r="C8" s="6">
        <v>7</v>
      </c>
      <c r="D8" s="4">
        <v>330.65</v>
      </c>
      <c r="E8" s="17">
        <f t="shared" si="3"/>
        <v>331.59333333333331</v>
      </c>
      <c r="F8" s="19">
        <f t="shared" si="4"/>
        <v>0</v>
      </c>
      <c r="G8" s="13">
        <v>0.04</v>
      </c>
      <c r="H8" s="5">
        <v>494400</v>
      </c>
      <c r="I8" s="6" t="s">
        <v>13</v>
      </c>
      <c r="J8" s="8">
        <v>200000</v>
      </c>
      <c r="K8" s="5">
        <f t="shared" si="1"/>
        <v>294400</v>
      </c>
      <c r="L8" s="16">
        <f t="shared" si="2"/>
        <v>0.59546925566343045</v>
      </c>
      <c r="M8" s="11"/>
      <c r="N8" s="10"/>
      <c r="O8" s="11"/>
      <c r="P8" s="11"/>
      <c r="Q8" s="10"/>
      <c r="R8" s="11"/>
      <c r="S8" s="11"/>
    </row>
    <row r="9" spans="1:19" x14ac:dyDescent="0.3">
      <c r="A9" s="7">
        <f t="shared" si="5"/>
        <v>43831</v>
      </c>
      <c r="B9" s="6">
        <f t="shared" si="0"/>
        <v>2020</v>
      </c>
      <c r="C9" s="6">
        <v>8</v>
      </c>
      <c r="D9" s="4">
        <v>333.49</v>
      </c>
      <c r="E9" s="17">
        <f t="shared" si="3"/>
        <v>332.40666666666669</v>
      </c>
      <c r="F9" s="19">
        <f t="shared" si="4"/>
        <v>3.248473217587677E-3</v>
      </c>
      <c r="G9" s="13">
        <v>4.7E-2</v>
      </c>
      <c r="H9" s="5">
        <v>551550</v>
      </c>
      <c r="I9" s="6" t="s">
        <v>14</v>
      </c>
      <c r="J9" s="15">
        <f>J8*1.05</f>
        <v>210000</v>
      </c>
      <c r="K9" s="5">
        <f t="shared" si="1"/>
        <v>341550</v>
      </c>
      <c r="L9" s="16">
        <f t="shared" si="2"/>
        <v>0.61925482730486814</v>
      </c>
      <c r="M9" s="11"/>
      <c r="N9" s="10"/>
      <c r="O9" s="11"/>
      <c r="P9" s="11"/>
      <c r="Q9" s="10"/>
      <c r="R9" s="11"/>
      <c r="S9" s="11"/>
    </row>
    <row r="10" spans="1:19" x14ac:dyDescent="0.3">
      <c r="A10" s="7">
        <f t="shared" ref="A10:A13" si="6">EDATE(A9,1)</f>
        <v>43862</v>
      </c>
      <c r="B10" s="6">
        <f t="shared" si="0"/>
        <v>2020</v>
      </c>
      <c r="C10" s="6">
        <v>9</v>
      </c>
      <c r="D10" s="4">
        <v>337.34</v>
      </c>
      <c r="E10" s="17">
        <f t="shared" si="3"/>
        <v>333.82666666666665</v>
      </c>
      <c r="F10" s="19">
        <f t="shared" si="4"/>
        <v>1.0414813936483434E-2</v>
      </c>
      <c r="G10" s="13">
        <v>4.3999999999999997E-2</v>
      </c>
      <c r="H10" s="5">
        <v>551550</v>
      </c>
      <c r="I10" s="6" t="s">
        <v>15</v>
      </c>
      <c r="J10" s="8">
        <f>$J$9</f>
        <v>210000</v>
      </c>
      <c r="K10" s="5">
        <f t="shared" si="1"/>
        <v>341550</v>
      </c>
      <c r="L10" s="16">
        <f t="shared" si="2"/>
        <v>0.61925482730486814</v>
      </c>
      <c r="M10" s="11"/>
      <c r="N10" s="10"/>
      <c r="O10" s="11"/>
      <c r="P10" s="11"/>
      <c r="Q10" s="10"/>
      <c r="R10" s="11"/>
      <c r="S10" s="11"/>
    </row>
    <row r="11" spans="1:19" x14ac:dyDescent="0.3">
      <c r="A11" s="7">
        <f t="shared" si="6"/>
        <v>43891</v>
      </c>
      <c r="B11" s="6">
        <f t="shared" si="0"/>
        <v>2020</v>
      </c>
      <c r="C11" s="6">
        <v>10</v>
      </c>
      <c r="D11" s="4">
        <v>345.07</v>
      </c>
      <c r="E11" s="17">
        <f t="shared" si="3"/>
        <v>338.63333333333327</v>
      </c>
      <c r="F11" s="19">
        <f t="shared" si="4"/>
        <v>1.865322011958943E-2</v>
      </c>
      <c r="G11" s="13">
        <v>3.9E-2</v>
      </c>
      <c r="H11" s="5">
        <v>551550</v>
      </c>
      <c r="I11" s="6" t="s">
        <v>16</v>
      </c>
      <c r="J11" s="8">
        <f t="shared" ref="J11:J20" si="7">$J$9</f>
        <v>210000</v>
      </c>
      <c r="K11" s="5">
        <f t="shared" si="1"/>
        <v>341550</v>
      </c>
      <c r="L11" s="16">
        <f t="shared" si="2"/>
        <v>0.61925482730486814</v>
      </c>
      <c r="M11" s="11"/>
      <c r="N11" s="10"/>
      <c r="O11" s="11"/>
      <c r="P11" s="11"/>
      <c r="Q11" s="10"/>
      <c r="R11" s="11"/>
      <c r="S11" s="11"/>
    </row>
    <row r="12" spans="1:19" x14ac:dyDescent="0.3">
      <c r="A12" s="7">
        <f t="shared" si="6"/>
        <v>43922</v>
      </c>
      <c r="B12" s="6">
        <f t="shared" si="0"/>
        <v>2020</v>
      </c>
      <c r="C12" s="6">
        <v>11</v>
      </c>
      <c r="D12" s="4">
        <v>355.64</v>
      </c>
      <c r="E12" s="17">
        <f t="shared" si="3"/>
        <v>346.01666666666665</v>
      </c>
      <c r="F12" s="19">
        <f t="shared" si="4"/>
        <v>2.7059198440370417E-2</v>
      </c>
      <c r="G12" s="13">
        <v>2.4E-2</v>
      </c>
      <c r="H12" s="5">
        <v>551550</v>
      </c>
      <c r="I12" s="6" t="s">
        <v>17</v>
      </c>
      <c r="J12" s="8">
        <f t="shared" si="7"/>
        <v>210000</v>
      </c>
      <c r="K12" s="5">
        <f t="shared" si="1"/>
        <v>341550</v>
      </c>
      <c r="L12" s="16">
        <f t="shared" si="2"/>
        <v>0.61925482730486814</v>
      </c>
      <c r="M12" s="11"/>
      <c r="N12" s="10"/>
      <c r="O12" s="11"/>
      <c r="P12" s="11"/>
      <c r="Q12" s="10"/>
      <c r="R12" s="11"/>
      <c r="S12" s="11"/>
    </row>
    <row r="13" spans="1:19" x14ac:dyDescent="0.3">
      <c r="A13" s="7">
        <f t="shared" si="6"/>
        <v>43952</v>
      </c>
      <c r="B13" s="6">
        <f t="shared" si="0"/>
        <v>2020</v>
      </c>
      <c r="C13" s="6">
        <v>12</v>
      </c>
      <c r="D13" s="4">
        <v>350.42</v>
      </c>
      <c r="E13" s="17">
        <f t="shared" si="3"/>
        <v>350.37666666666672</v>
      </c>
      <c r="F13" s="19">
        <f t="shared" si="4"/>
        <v>1.2366113045286775E-4</v>
      </c>
      <c r="G13" s="13">
        <v>2.1999999999999999E-2</v>
      </c>
      <c r="H13" s="5">
        <v>551550</v>
      </c>
      <c r="I13" s="6" t="s">
        <v>18</v>
      </c>
      <c r="J13" s="8">
        <f t="shared" si="7"/>
        <v>210000</v>
      </c>
      <c r="K13" s="5">
        <f t="shared" si="1"/>
        <v>341550</v>
      </c>
      <c r="L13" s="16">
        <f t="shared" si="2"/>
        <v>0.61925482730486814</v>
      </c>
      <c r="M13" s="11"/>
      <c r="N13" s="10"/>
      <c r="O13" s="11"/>
      <c r="P13" s="11"/>
      <c r="Q13" s="10"/>
      <c r="R13" s="11"/>
      <c r="S13" s="11"/>
    </row>
    <row r="14" spans="1:19" x14ac:dyDescent="0.3">
      <c r="A14" s="7">
        <f t="shared" si="5"/>
        <v>43983</v>
      </c>
      <c r="B14" s="6">
        <f t="shared" si="0"/>
        <v>2020</v>
      </c>
      <c r="C14" s="6">
        <v>13</v>
      </c>
      <c r="D14" s="4">
        <v>347.21</v>
      </c>
      <c r="E14" s="17">
        <f t="shared" si="3"/>
        <v>351.09</v>
      </c>
      <c r="F14" s="19">
        <f t="shared" si="4"/>
        <v>0</v>
      </c>
      <c r="G14" s="13">
        <v>2.9000000000000001E-2</v>
      </c>
      <c r="H14" s="5">
        <v>551550</v>
      </c>
      <c r="I14" s="6" t="s">
        <v>7</v>
      </c>
      <c r="J14" s="8">
        <f t="shared" si="7"/>
        <v>210000</v>
      </c>
      <c r="K14" s="5">
        <f t="shared" si="1"/>
        <v>341550</v>
      </c>
      <c r="L14" s="16">
        <f t="shared" si="2"/>
        <v>0.61925482730486814</v>
      </c>
      <c r="M14" s="11"/>
      <c r="N14" s="10"/>
      <c r="O14" s="11"/>
      <c r="P14" s="11"/>
      <c r="Q14" s="10"/>
      <c r="R14" s="11"/>
      <c r="S14" s="11"/>
    </row>
    <row r="15" spans="1:19" x14ac:dyDescent="0.3">
      <c r="A15" s="7">
        <f t="shared" si="5"/>
        <v>44013</v>
      </c>
      <c r="B15" s="6">
        <f t="shared" si="0"/>
        <v>2020</v>
      </c>
      <c r="C15" s="6">
        <v>14</v>
      </c>
      <c r="D15" s="4">
        <v>350.78</v>
      </c>
      <c r="E15" s="17">
        <f t="shared" si="3"/>
        <v>349.46999999999997</v>
      </c>
      <c r="F15" s="19">
        <f t="shared" si="4"/>
        <v>3.7345344660471018E-3</v>
      </c>
      <c r="G15" s="13">
        <v>3.7999999999999999E-2</v>
      </c>
      <c r="H15" s="5">
        <v>551550</v>
      </c>
      <c r="I15" s="6" t="s">
        <v>8</v>
      </c>
      <c r="J15" s="8">
        <f t="shared" si="7"/>
        <v>210000</v>
      </c>
      <c r="K15" s="5">
        <f t="shared" si="1"/>
        <v>341550</v>
      </c>
      <c r="L15" s="16">
        <f t="shared" si="2"/>
        <v>0.61925482730486814</v>
      </c>
      <c r="M15" s="11"/>
      <c r="N15" s="10"/>
      <c r="O15" s="11"/>
      <c r="P15" s="11"/>
      <c r="Q15" s="10"/>
      <c r="R15" s="11"/>
      <c r="S15" s="11"/>
    </row>
    <row r="16" spans="1:19" x14ac:dyDescent="0.3">
      <c r="A16" s="7">
        <f t="shared" si="5"/>
        <v>44044</v>
      </c>
      <c r="B16" s="6">
        <f t="shared" si="0"/>
        <v>2020</v>
      </c>
      <c r="C16" s="6">
        <v>15</v>
      </c>
      <c r="D16" s="4">
        <v>348.31</v>
      </c>
      <c r="E16" s="17">
        <f t="shared" si="3"/>
        <v>348.76666666666665</v>
      </c>
      <c r="F16" s="19">
        <f t="shared" si="4"/>
        <v>0</v>
      </c>
      <c r="G16" s="13">
        <v>3.9E-2</v>
      </c>
      <c r="H16" s="5">
        <v>551550</v>
      </c>
      <c r="I16" s="6" t="s">
        <v>9</v>
      </c>
      <c r="J16" s="8">
        <f t="shared" si="7"/>
        <v>210000</v>
      </c>
      <c r="K16" s="5">
        <f t="shared" si="1"/>
        <v>341550</v>
      </c>
      <c r="L16" s="16">
        <f t="shared" si="2"/>
        <v>0.61925482730486814</v>
      </c>
      <c r="M16" s="11"/>
      <c r="N16" s="10"/>
      <c r="O16" s="11"/>
      <c r="P16" s="11"/>
      <c r="Q16" s="10"/>
      <c r="R16" s="11"/>
      <c r="S16" s="11"/>
    </row>
    <row r="17" spans="1:19" x14ac:dyDescent="0.3">
      <c r="A17" s="7">
        <f t="shared" ref="A17:A80" si="8">EDATE(A16,1)</f>
        <v>44075</v>
      </c>
      <c r="B17" s="6">
        <f t="shared" si="0"/>
        <v>2020</v>
      </c>
      <c r="C17" s="6">
        <v>16</v>
      </c>
      <c r="D17" s="4">
        <v>360.06</v>
      </c>
      <c r="E17" s="17">
        <f t="shared" si="3"/>
        <v>353.04999999999995</v>
      </c>
      <c r="F17" s="19">
        <f t="shared" si="4"/>
        <v>1.9468977392656912E-2</v>
      </c>
      <c r="G17" s="13">
        <v>3.4000000000000002E-2</v>
      </c>
      <c r="H17" s="5">
        <v>551550</v>
      </c>
      <c r="I17" s="6" t="s">
        <v>10</v>
      </c>
      <c r="J17" s="8">
        <f t="shared" si="7"/>
        <v>210000</v>
      </c>
      <c r="K17" s="5">
        <f t="shared" si="1"/>
        <v>341550</v>
      </c>
      <c r="L17" s="16">
        <f t="shared" si="2"/>
        <v>0.61925482730486814</v>
      </c>
      <c r="M17" s="11"/>
      <c r="N17" s="10"/>
      <c r="O17" s="9"/>
      <c r="P17" s="11"/>
      <c r="Q17" s="10"/>
      <c r="R17" s="11"/>
      <c r="S17" s="11"/>
    </row>
    <row r="18" spans="1:19" x14ac:dyDescent="0.3">
      <c r="A18" s="7">
        <f t="shared" si="8"/>
        <v>44105</v>
      </c>
      <c r="B18" s="6">
        <f t="shared" si="0"/>
        <v>2020</v>
      </c>
      <c r="C18" s="6">
        <v>17</v>
      </c>
      <c r="D18" s="4">
        <v>362.09</v>
      </c>
      <c r="E18" s="17">
        <f t="shared" si="3"/>
        <v>356.82</v>
      </c>
      <c r="F18" s="19">
        <f t="shared" si="4"/>
        <v>1.455439255433727E-2</v>
      </c>
      <c r="G18" s="13">
        <v>0.03</v>
      </c>
      <c r="H18" s="5">
        <v>551550</v>
      </c>
      <c r="I18" s="6" t="s">
        <v>11</v>
      </c>
      <c r="J18" s="8">
        <f t="shared" si="7"/>
        <v>210000</v>
      </c>
      <c r="K18" s="5">
        <f t="shared" si="1"/>
        <v>341550</v>
      </c>
      <c r="L18" s="16">
        <f t="shared" si="2"/>
        <v>0.61925482730486814</v>
      </c>
      <c r="M18" s="11"/>
      <c r="N18" s="10"/>
      <c r="O18" s="11"/>
      <c r="P18" s="11"/>
      <c r="Q18" s="10"/>
      <c r="R18" s="11"/>
      <c r="S18" s="11"/>
    </row>
    <row r="19" spans="1:19" x14ac:dyDescent="0.3">
      <c r="A19" s="7">
        <f t="shared" si="8"/>
        <v>44136</v>
      </c>
      <c r="B19" s="6">
        <f t="shared" si="0"/>
        <v>2020</v>
      </c>
      <c r="C19" s="6">
        <v>18</v>
      </c>
      <c r="D19" s="4">
        <v>359.89</v>
      </c>
      <c r="E19" s="17">
        <f t="shared" si="3"/>
        <v>360.68</v>
      </c>
      <c r="F19" s="19">
        <f t="shared" si="4"/>
        <v>0</v>
      </c>
      <c r="G19" s="13">
        <v>2.7E-2</v>
      </c>
      <c r="H19" s="5">
        <v>551550</v>
      </c>
      <c r="I19" s="6" t="s">
        <v>12</v>
      </c>
      <c r="J19" s="8">
        <f t="shared" si="7"/>
        <v>210000</v>
      </c>
      <c r="K19" s="5">
        <f t="shared" si="1"/>
        <v>341550</v>
      </c>
      <c r="L19" s="16">
        <f t="shared" si="2"/>
        <v>0.61925482730486814</v>
      </c>
      <c r="M19" s="11"/>
      <c r="N19" s="10"/>
      <c r="O19" s="11"/>
      <c r="P19" s="11"/>
      <c r="Q19" s="10"/>
      <c r="R19" s="11"/>
      <c r="S19" s="11"/>
    </row>
    <row r="20" spans="1:19" x14ac:dyDescent="0.3">
      <c r="A20" s="7">
        <f t="shared" si="8"/>
        <v>44166</v>
      </c>
      <c r="B20" s="6">
        <f t="shared" si="0"/>
        <v>2020</v>
      </c>
      <c r="C20" s="6">
        <v>19</v>
      </c>
      <c r="D20" s="4">
        <v>358.66</v>
      </c>
      <c r="E20" s="17">
        <f t="shared" si="3"/>
        <v>360.21333333333337</v>
      </c>
      <c r="F20" s="19">
        <f t="shared" si="4"/>
        <v>0</v>
      </c>
      <c r="G20" s="13">
        <v>2.7E-2</v>
      </c>
      <c r="H20" s="5">
        <v>551550</v>
      </c>
      <c r="I20" s="6" t="s">
        <v>13</v>
      </c>
      <c r="J20" s="8">
        <f t="shared" si="7"/>
        <v>210000</v>
      </c>
      <c r="K20" s="5">
        <f t="shared" si="1"/>
        <v>341550</v>
      </c>
      <c r="L20" s="16">
        <f t="shared" si="2"/>
        <v>0.61925482730486814</v>
      </c>
      <c r="M20" s="11"/>
      <c r="N20" s="10"/>
      <c r="O20" s="11"/>
      <c r="P20" s="11"/>
      <c r="Q20" s="10"/>
      <c r="R20" s="11"/>
      <c r="S20" s="11"/>
    </row>
    <row r="21" spans="1:19" x14ac:dyDescent="0.3">
      <c r="A21" s="7">
        <f t="shared" si="8"/>
        <v>44197</v>
      </c>
      <c r="B21" s="6">
        <f t="shared" si="0"/>
        <v>2021</v>
      </c>
      <c r="C21" s="6">
        <v>20</v>
      </c>
      <c r="D21" s="4">
        <v>359.2</v>
      </c>
      <c r="E21" s="17">
        <f t="shared" si="3"/>
        <v>359.25</v>
      </c>
      <c r="F21" s="19">
        <f t="shared" si="4"/>
        <v>0</v>
      </c>
      <c r="G21" s="13">
        <v>2.7E-2</v>
      </c>
      <c r="H21" s="5">
        <v>601350</v>
      </c>
      <c r="I21" s="6" t="s">
        <v>14</v>
      </c>
      <c r="J21" s="15">
        <f>J20*1.05</f>
        <v>220500</v>
      </c>
      <c r="K21" s="5">
        <f t="shared" si="1"/>
        <v>380850</v>
      </c>
      <c r="L21" s="16">
        <f t="shared" si="2"/>
        <v>0.63332501870790725</v>
      </c>
      <c r="M21" s="11"/>
      <c r="N21" s="10"/>
      <c r="O21" s="11"/>
      <c r="P21" s="11"/>
      <c r="Q21" s="10"/>
      <c r="R21" s="11"/>
      <c r="S21" s="11"/>
    </row>
    <row r="22" spans="1:19" x14ac:dyDescent="0.3">
      <c r="A22" s="7">
        <f t="shared" si="8"/>
        <v>44228</v>
      </c>
      <c r="B22" s="6">
        <f t="shared" si="0"/>
        <v>2021</v>
      </c>
      <c r="C22" s="6">
        <v>21</v>
      </c>
      <c r="D22" s="4">
        <v>357.63</v>
      </c>
      <c r="E22" s="17">
        <f t="shared" si="3"/>
        <v>358.49666666666667</v>
      </c>
      <c r="F22" s="19">
        <f t="shared" si="4"/>
        <v>0</v>
      </c>
      <c r="G22" s="13">
        <v>3.1E-2</v>
      </c>
      <c r="H22" s="5">
        <v>601350</v>
      </c>
      <c r="I22" s="6" t="s">
        <v>15</v>
      </c>
      <c r="J22" s="8">
        <f>$J$21</f>
        <v>220500</v>
      </c>
      <c r="K22" s="5">
        <f t="shared" si="1"/>
        <v>380850</v>
      </c>
      <c r="L22" s="16">
        <f t="shared" si="2"/>
        <v>0.63332501870790725</v>
      </c>
      <c r="M22" s="11"/>
      <c r="N22" s="10"/>
      <c r="O22" s="11"/>
      <c r="P22" s="11"/>
      <c r="Q22" s="10"/>
      <c r="R22" s="11"/>
      <c r="S22" s="11"/>
    </row>
    <row r="23" spans="1:19" x14ac:dyDescent="0.3">
      <c r="A23" s="7">
        <f t="shared" si="8"/>
        <v>44256</v>
      </c>
      <c r="B23" s="6">
        <f t="shared" si="0"/>
        <v>2021</v>
      </c>
      <c r="C23" s="6">
        <v>22</v>
      </c>
      <c r="D23" s="4">
        <v>365.1</v>
      </c>
      <c r="E23" s="17">
        <f t="shared" si="3"/>
        <v>360.64333333333326</v>
      </c>
      <c r="F23" s="19">
        <f t="shared" si="4"/>
        <v>1.2206701360358155E-2</v>
      </c>
      <c r="G23" s="13">
        <v>3.6999999999999998E-2</v>
      </c>
      <c r="H23" s="5">
        <v>601350</v>
      </c>
      <c r="I23" s="6" t="s">
        <v>16</v>
      </c>
      <c r="J23" s="8">
        <f t="shared" ref="J23:J32" si="9">$J$21</f>
        <v>220500</v>
      </c>
      <c r="K23" s="5">
        <f t="shared" si="1"/>
        <v>380850</v>
      </c>
      <c r="L23" s="16">
        <f t="shared" si="2"/>
        <v>0.63332501870790725</v>
      </c>
      <c r="M23" s="11"/>
      <c r="N23" s="10"/>
      <c r="O23" s="11"/>
      <c r="P23" s="11"/>
      <c r="Q23" s="10"/>
      <c r="R23" s="11"/>
      <c r="S23" s="11"/>
    </row>
    <row r="24" spans="1:19" x14ac:dyDescent="0.3">
      <c r="A24" s="7">
        <f t="shared" si="8"/>
        <v>44287</v>
      </c>
      <c r="B24" s="6">
        <f t="shared" si="0"/>
        <v>2021</v>
      </c>
      <c r="C24" s="6">
        <v>23</v>
      </c>
      <c r="D24" s="4">
        <v>360.33</v>
      </c>
      <c r="E24" s="17">
        <f t="shared" si="3"/>
        <v>361.02</v>
      </c>
      <c r="F24" s="19">
        <f t="shared" si="4"/>
        <v>0</v>
      </c>
      <c r="G24" s="13">
        <v>5.0999999999999997E-2</v>
      </c>
      <c r="H24" s="5">
        <v>601350</v>
      </c>
      <c r="I24" s="6" t="s">
        <v>17</v>
      </c>
      <c r="J24" s="8">
        <f t="shared" si="9"/>
        <v>220500</v>
      </c>
      <c r="K24" s="5">
        <f t="shared" si="1"/>
        <v>380850</v>
      </c>
      <c r="L24" s="16">
        <f t="shared" si="2"/>
        <v>0.63332501870790725</v>
      </c>
      <c r="M24" s="11"/>
      <c r="N24" s="10"/>
      <c r="O24" s="11"/>
      <c r="P24" s="11"/>
      <c r="Q24" s="10"/>
      <c r="R24" s="11"/>
      <c r="S24" s="11"/>
    </row>
    <row r="25" spans="1:19" x14ac:dyDescent="0.3">
      <c r="A25" s="7">
        <f t="shared" si="8"/>
        <v>44317</v>
      </c>
      <c r="B25" s="6">
        <f t="shared" si="0"/>
        <v>2021</v>
      </c>
      <c r="C25" s="6">
        <v>24</v>
      </c>
      <c r="D25" s="4">
        <v>353.33</v>
      </c>
      <c r="E25" s="17">
        <f t="shared" si="3"/>
        <v>359.58666666666664</v>
      </c>
      <c r="F25" s="19">
        <f t="shared" si="4"/>
        <v>0</v>
      </c>
      <c r="G25" s="13">
        <v>5.0999999999999997E-2</v>
      </c>
      <c r="H25" s="5">
        <v>601350</v>
      </c>
      <c r="I25" s="6" t="s">
        <v>18</v>
      </c>
      <c r="J25" s="8">
        <f t="shared" si="9"/>
        <v>220500</v>
      </c>
      <c r="K25" s="5">
        <f t="shared" si="1"/>
        <v>380850</v>
      </c>
      <c r="L25" s="16">
        <f t="shared" si="2"/>
        <v>0.63332501870790725</v>
      </c>
      <c r="M25" s="11"/>
      <c r="N25" s="10"/>
      <c r="O25" s="11"/>
      <c r="P25" s="11"/>
      <c r="Q25" s="9"/>
      <c r="R25" s="9"/>
      <c r="S25" s="11"/>
    </row>
    <row r="26" spans="1:19" x14ac:dyDescent="0.3">
      <c r="A26" s="7">
        <f t="shared" si="8"/>
        <v>44348</v>
      </c>
      <c r="B26" s="6">
        <f t="shared" si="0"/>
        <v>2021</v>
      </c>
      <c r="C26" s="6">
        <v>25</v>
      </c>
      <c r="D26" s="4">
        <v>349.47</v>
      </c>
      <c r="E26" s="17">
        <f t="shared" si="3"/>
        <v>354.37666666666672</v>
      </c>
      <c r="F26" s="19">
        <f t="shared" si="4"/>
        <v>0</v>
      </c>
      <c r="G26" s="13">
        <v>5.2999999999999999E-2</v>
      </c>
      <c r="H26" s="5">
        <v>601350</v>
      </c>
      <c r="I26" s="6" t="s">
        <v>7</v>
      </c>
      <c r="J26" s="8">
        <f t="shared" si="9"/>
        <v>220500</v>
      </c>
      <c r="K26" s="5">
        <f t="shared" si="1"/>
        <v>380850</v>
      </c>
      <c r="L26" s="16">
        <f t="shared" si="2"/>
        <v>0.63332501870790725</v>
      </c>
      <c r="M26" s="11"/>
      <c r="N26" s="10"/>
      <c r="O26" s="11"/>
      <c r="P26" s="11"/>
      <c r="Q26" s="11"/>
      <c r="R26" s="11"/>
      <c r="S26" s="11"/>
    </row>
    <row r="27" spans="1:19" x14ac:dyDescent="0.3">
      <c r="A27" s="7">
        <f t="shared" si="8"/>
        <v>44378</v>
      </c>
      <c r="B27" s="6">
        <f t="shared" si="0"/>
        <v>2021</v>
      </c>
      <c r="C27" s="6">
        <v>26</v>
      </c>
      <c r="D27" s="4">
        <v>356.9</v>
      </c>
      <c r="E27" s="17">
        <f t="shared" si="3"/>
        <v>353.23333333333329</v>
      </c>
      <c r="F27" s="19">
        <f t="shared" si="4"/>
        <v>1.0273652750537085E-2</v>
      </c>
      <c r="G27" s="13">
        <v>4.5999999999999999E-2</v>
      </c>
      <c r="H27" s="5">
        <v>601350</v>
      </c>
      <c r="I27" s="6" t="s">
        <v>8</v>
      </c>
      <c r="J27" s="8">
        <f t="shared" si="9"/>
        <v>220500</v>
      </c>
      <c r="K27" s="5">
        <f t="shared" si="1"/>
        <v>380850</v>
      </c>
      <c r="L27" s="16">
        <f t="shared" si="2"/>
        <v>0.63332501870790725</v>
      </c>
      <c r="M27" s="11"/>
      <c r="N27" s="10"/>
      <c r="O27" s="11"/>
      <c r="P27" s="11"/>
      <c r="Q27" s="11"/>
      <c r="R27" s="11"/>
      <c r="S27" s="11"/>
    </row>
    <row r="28" spans="1:19" x14ac:dyDescent="0.3">
      <c r="A28" s="7">
        <f t="shared" si="8"/>
        <v>44409</v>
      </c>
      <c r="B28" s="6">
        <f t="shared" si="0"/>
        <v>2021</v>
      </c>
      <c r="C28" s="6">
        <v>27</v>
      </c>
      <c r="D28" s="4">
        <v>351.6</v>
      </c>
      <c r="E28" s="17">
        <f t="shared" si="3"/>
        <v>352.65666666666669</v>
      </c>
      <c r="F28" s="19">
        <f t="shared" si="4"/>
        <v>0</v>
      </c>
      <c r="G28" s="13">
        <v>4.9000000000000002E-2</v>
      </c>
      <c r="H28" s="5">
        <v>601350</v>
      </c>
      <c r="I28" s="6" t="s">
        <v>9</v>
      </c>
      <c r="J28" s="8">
        <f t="shared" si="9"/>
        <v>220500</v>
      </c>
      <c r="K28" s="5">
        <f t="shared" si="1"/>
        <v>380850</v>
      </c>
      <c r="L28" s="16">
        <f t="shared" si="2"/>
        <v>0.63332501870790725</v>
      </c>
      <c r="M28" s="11"/>
      <c r="N28" s="10"/>
      <c r="O28" s="11"/>
      <c r="P28" s="11"/>
      <c r="Q28" s="11"/>
      <c r="R28" s="11"/>
      <c r="S28" s="11"/>
    </row>
    <row r="29" spans="1:19" x14ac:dyDescent="0.3">
      <c r="A29" s="7">
        <f t="shared" si="8"/>
        <v>44440</v>
      </c>
      <c r="B29" s="6">
        <f t="shared" si="0"/>
        <v>2021</v>
      </c>
      <c r="C29" s="6">
        <v>28</v>
      </c>
      <c r="D29" s="4">
        <v>352.16</v>
      </c>
      <c r="E29" s="17">
        <f t="shared" si="3"/>
        <v>353.55333333333334</v>
      </c>
      <c r="F29" s="19">
        <f t="shared" si="4"/>
        <v>0</v>
      </c>
      <c r="G29" s="13">
        <v>5.5E-2</v>
      </c>
      <c r="H29" s="5">
        <v>601350</v>
      </c>
      <c r="I29" s="6" t="s">
        <v>10</v>
      </c>
      <c r="J29" s="8">
        <f t="shared" si="9"/>
        <v>220500</v>
      </c>
      <c r="K29" s="5">
        <f t="shared" si="1"/>
        <v>380850</v>
      </c>
      <c r="L29" s="16">
        <f t="shared" si="2"/>
        <v>0.63332501870790725</v>
      </c>
      <c r="M29" s="11"/>
      <c r="N29" s="10"/>
      <c r="O29" s="11"/>
      <c r="P29" s="11"/>
      <c r="Q29" s="11"/>
      <c r="R29" s="11"/>
      <c r="S29" s="11"/>
    </row>
    <row r="30" spans="1:19" x14ac:dyDescent="0.3">
      <c r="A30" s="7">
        <f t="shared" si="8"/>
        <v>44470</v>
      </c>
      <c r="B30" s="6">
        <f t="shared" si="0"/>
        <v>2021</v>
      </c>
      <c r="C30" s="6">
        <v>29</v>
      </c>
      <c r="D30" s="4">
        <v>360.61</v>
      </c>
      <c r="E30" s="17">
        <f t="shared" si="3"/>
        <v>354.78999999999996</v>
      </c>
      <c r="F30" s="19">
        <f t="shared" si="4"/>
        <v>1.6139319486425916E-2</v>
      </c>
      <c r="G30" s="13">
        <v>6.5000000000000002E-2</v>
      </c>
      <c r="H30" s="5">
        <v>601350</v>
      </c>
      <c r="I30" s="6" t="s">
        <v>11</v>
      </c>
      <c r="J30" s="8">
        <f t="shared" si="9"/>
        <v>220500</v>
      </c>
      <c r="K30" s="5">
        <f t="shared" si="1"/>
        <v>380850</v>
      </c>
      <c r="L30" s="16">
        <f t="shared" si="2"/>
        <v>0.63332501870790725</v>
      </c>
      <c r="M30" s="11"/>
      <c r="N30" s="10"/>
      <c r="O30" s="11"/>
      <c r="P30" s="11"/>
      <c r="Q30" s="11"/>
      <c r="R30" s="11"/>
      <c r="S30" s="11"/>
    </row>
    <row r="31" spans="1:19" x14ac:dyDescent="0.3">
      <c r="A31" s="7">
        <f t="shared" si="8"/>
        <v>44501</v>
      </c>
      <c r="B31" s="6">
        <f t="shared" si="0"/>
        <v>2021</v>
      </c>
      <c r="C31" s="6">
        <v>30</v>
      </c>
      <c r="D31" s="4">
        <v>363.93</v>
      </c>
      <c r="E31" s="17">
        <f t="shared" si="3"/>
        <v>358.90000000000003</v>
      </c>
      <c r="F31" s="19">
        <f t="shared" si="4"/>
        <v>1.3821339268540579E-2</v>
      </c>
      <c r="G31" s="13">
        <v>7.3999999999999996E-2</v>
      </c>
      <c r="H31" s="5">
        <v>601350</v>
      </c>
      <c r="I31" s="6" t="s">
        <v>12</v>
      </c>
      <c r="J31" s="8">
        <f t="shared" si="9"/>
        <v>220500</v>
      </c>
      <c r="K31" s="5">
        <f t="shared" si="1"/>
        <v>380850</v>
      </c>
      <c r="L31" s="16">
        <f t="shared" si="2"/>
        <v>0.63332501870790725</v>
      </c>
      <c r="M31" s="11"/>
      <c r="N31" s="10"/>
      <c r="O31" s="11"/>
      <c r="P31" s="11"/>
      <c r="Q31" s="11"/>
      <c r="R31" s="11"/>
      <c r="S31" s="11"/>
    </row>
    <row r="32" spans="1:19" x14ac:dyDescent="0.3">
      <c r="A32" s="7">
        <f t="shared" si="8"/>
        <v>44531</v>
      </c>
      <c r="B32" s="6">
        <f t="shared" si="0"/>
        <v>2021</v>
      </c>
      <c r="C32" s="6">
        <v>31</v>
      </c>
      <c r="D32" s="4">
        <v>366.95</v>
      </c>
      <c r="E32" s="17">
        <f t="shared" si="3"/>
        <v>363.83</v>
      </c>
      <c r="F32" s="19">
        <f t="shared" si="4"/>
        <v>8.5025207793977507E-3</v>
      </c>
      <c r="G32" s="13">
        <v>7.3999999999999996E-2</v>
      </c>
      <c r="H32" s="5">
        <v>601350</v>
      </c>
      <c r="I32" s="6" t="s">
        <v>13</v>
      </c>
      <c r="J32" s="8">
        <f t="shared" si="9"/>
        <v>220500</v>
      </c>
      <c r="K32" s="5">
        <f t="shared" si="1"/>
        <v>380850</v>
      </c>
      <c r="L32" s="16">
        <f t="shared" si="2"/>
        <v>0.63332501870790725</v>
      </c>
    </row>
    <row r="33" spans="1:12" x14ac:dyDescent="0.3">
      <c r="A33" s="7">
        <f t="shared" si="8"/>
        <v>44562</v>
      </c>
      <c r="B33" s="6">
        <f t="shared" si="0"/>
        <v>2022</v>
      </c>
      <c r="C33" s="6">
        <v>32</v>
      </c>
      <c r="D33" s="4">
        <v>358.72</v>
      </c>
      <c r="E33" s="17">
        <f t="shared" si="3"/>
        <v>363.2</v>
      </c>
      <c r="F33" s="19">
        <f t="shared" si="4"/>
        <v>0</v>
      </c>
      <c r="G33" s="13">
        <v>7.9000000000000001E-2</v>
      </c>
      <c r="H33" s="5">
        <v>660150</v>
      </c>
      <c r="I33" s="6" t="s">
        <v>14</v>
      </c>
      <c r="J33" s="15">
        <f>J32*1.05</f>
        <v>231525</v>
      </c>
      <c r="K33" s="5">
        <f t="shared" si="1"/>
        <v>428625</v>
      </c>
      <c r="L33" s="16">
        <f t="shared" si="2"/>
        <v>0.6492842535787321</v>
      </c>
    </row>
    <row r="34" spans="1:12" x14ac:dyDescent="0.3">
      <c r="A34" s="7">
        <f t="shared" si="8"/>
        <v>44593</v>
      </c>
      <c r="B34" s="6">
        <f t="shared" si="0"/>
        <v>2022</v>
      </c>
      <c r="C34" s="6">
        <v>33</v>
      </c>
      <c r="D34" s="4">
        <v>356.22</v>
      </c>
      <c r="E34" s="17">
        <f t="shared" si="3"/>
        <v>360.63000000000005</v>
      </c>
      <c r="F34" s="19">
        <f t="shared" si="4"/>
        <v>0</v>
      </c>
      <c r="G34" s="13">
        <v>8.3000000000000004E-2</v>
      </c>
      <c r="H34" s="5">
        <v>660150</v>
      </c>
      <c r="I34" s="6" t="s">
        <v>15</v>
      </c>
      <c r="J34" s="8">
        <f>$J$33</f>
        <v>231525</v>
      </c>
      <c r="K34" s="5">
        <f t="shared" si="1"/>
        <v>428625</v>
      </c>
      <c r="L34" s="16">
        <f t="shared" si="2"/>
        <v>0.6492842535787321</v>
      </c>
    </row>
    <row r="35" spans="1:12" x14ac:dyDescent="0.3">
      <c r="A35" s="7">
        <f t="shared" si="8"/>
        <v>44621</v>
      </c>
      <c r="B35" s="6">
        <f t="shared" si="0"/>
        <v>2022</v>
      </c>
      <c r="C35" s="6">
        <v>34</v>
      </c>
      <c r="D35" s="4">
        <v>375.15</v>
      </c>
      <c r="E35" s="17">
        <f t="shared" si="3"/>
        <v>363.3633333333334</v>
      </c>
      <c r="F35" s="19">
        <f t="shared" si="4"/>
        <v>3.1418543693633422E-2</v>
      </c>
      <c r="G35" s="13">
        <v>8.5000000000000006E-2</v>
      </c>
      <c r="H35" s="5">
        <v>660150</v>
      </c>
      <c r="I35" s="6" t="s">
        <v>16</v>
      </c>
      <c r="J35" s="8">
        <f t="shared" ref="J35:J44" si="10">$J$33</f>
        <v>231525</v>
      </c>
      <c r="K35" s="5">
        <f t="shared" si="1"/>
        <v>428625</v>
      </c>
      <c r="L35" s="16">
        <f t="shared" si="2"/>
        <v>0.6492842535787321</v>
      </c>
    </row>
    <row r="36" spans="1:12" x14ac:dyDescent="0.3">
      <c r="A36" s="7">
        <f t="shared" si="8"/>
        <v>44652</v>
      </c>
      <c r="B36" s="6">
        <f t="shared" si="0"/>
        <v>2022</v>
      </c>
      <c r="C36" s="6">
        <v>35</v>
      </c>
      <c r="D36" s="4">
        <v>374.53</v>
      </c>
      <c r="E36" s="17">
        <f t="shared" si="3"/>
        <v>368.63333333333338</v>
      </c>
      <c r="F36" s="19">
        <f t="shared" si="4"/>
        <v>1.5744177146467815E-2</v>
      </c>
      <c r="G36" s="13">
        <v>9.5000000000000001E-2</v>
      </c>
      <c r="H36" s="5">
        <v>660150</v>
      </c>
      <c r="I36" s="6" t="s">
        <v>17</v>
      </c>
      <c r="J36" s="8">
        <f t="shared" si="10"/>
        <v>231525</v>
      </c>
      <c r="K36" s="5">
        <f t="shared" si="1"/>
        <v>428625</v>
      </c>
      <c r="L36" s="16">
        <f t="shared" si="2"/>
        <v>0.6492842535787321</v>
      </c>
    </row>
    <row r="37" spans="1:12" x14ac:dyDescent="0.3">
      <c r="A37" s="7">
        <f t="shared" si="8"/>
        <v>44682</v>
      </c>
      <c r="B37" s="6">
        <f t="shared" si="0"/>
        <v>2022</v>
      </c>
      <c r="C37" s="6">
        <v>36</v>
      </c>
      <c r="D37" s="4">
        <v>384.26</v>
      </c>
      <c r="E37" s="17">
        <f t="shared" si="3"/>
        <v>377.98</v>
      </c>
      <c r="F37" s="19">
        <f t="shared" si="4"/>
        <v>1.6343101025347351E-2</v>
      </c>
      <c r="G37" s="13">
        <v>0.107</v>
      </c>
      <c r="H37" s="5">
        <v>660150</v>
      </c>
      <c r="I37" s="6" t="s">
        <v>18</v>
      </c>
      <c r="J37" s="8">
        <f t="shared" si="10"/>
        <v>231525</v>
      </c>
      <c r="K37" s="5">
        <f t="shared" si="1"/>
        <v>428625</v>
      </c>
      <c r="L37" s="16">
        <f t="shared" si="2"/>
        <v>0.6492842535787321</v>
      </c>
    </row>
    <row r="38" spans="1:12" x14ac:dyDescent="0.3">
      <c r="A38" s="7">
        <f t="shared" si="8"/>
        <v>44713</v>
      </c>
      <c r="B38" s="6">
        <f t="shared" si="0"/>
        <v>2022</v>
      </c>
      <c r="C38" s="6">
        <v>37</v>
      </c>
      <c r="D38" s="4">
        <v>396.04</v>
      </c>
      <c r="E38" s="17">
        <f t="shared" si="3"/>
        <v>384.94333333333333</v>
      </c>
      <c r="F38" s="19">
        <f t="shared" si="4"/>
        <v>2.8019055314278084E-2</v>
      </c>
      <c r="G38" s="13">
        <v>0.11700000000000001</v>
      </c>
      <c r="H38" s="5">
        <v>660150</v>
      </c>
      <c r="I38" s="6" t="s">
        <v>7</v>
      </c>
      <c r="J38" s="8">
        <f t="shared" si="10"/>
        <v>231525</v>
      </c>
      <c r="K38" s="5">
        <f t="shared" si="1"/>
        <v>428625</v>
      </c>
      <c r="L38" s="16">
        <f t="shared" si="2"/>
        <v>0.6492842535787321</v>
      </c>
    </row>
    <row r="39" spans="1:12" x14ac:dyDescent="0.3">
      <c r="A39" s="7">
        <f t="shared" si="8"/>
        <v>44743</v>
      </c>
      <c r="B39" s="6">
        <f t="shared" si="0"/>
        <v>2022</v>
      </c>
      <c r="C39" s="6">
        <v>38</v>
      </c>
      <c r="D39" s="4">
        <v>402.74</v>
      </c>
      <c r="E39" s="17">
        <f t="shared" si="3"/>
        <v>394.34666666666664</v>
      </c>
      <c r="F39" s="19">
        <f t="shared" si="4"/>
        <v>2.0840575391898927E-2</v>
      </c>
      <c r="G39" s="13">
        <v>0.13700000000000001</v>
      </c>
      <c r="H39" s="5">
        <v>660150</v>
      </c>
      <c r="I39" s="6" t="s">
        <v>8</v>
      </c>
      <c r="J39" s="8">
        <f t="shared" si="10"/>
        <v>231525</v>
      </c>
      <c r="K39" s="5">
        <f t="shared" si="1"/>
        <v>428625</v>
      </c>
      <c r="L39" s="16">
        <f t="shared" si="2"/>
        <v>0.6492842535787321</v>
      </c>
    </row>
    <row r="40" spans="1:12" x14ac:dyDescent="0.3">
      <c r="A40" s="7">
        <f t="shared" si="8"/>
        <v>44774</v>
      </c>
      <c r="B40" s="6">
        <f t="shared" si="0"/>
        <v>2022</v>
      </c>
      <c r="C40" s="6">
        <v>39</v>
      </c>
      <c r="D40" s="4">
        <v>401.32</v>
      </c>
      <c r="E40" s="17">
        <f t="shared" si="3"/>
        <v>400.0333333333333</v>
      </c>
      <c r="F40" s="19">
        <f t="shared" si="4"/>
        <v>3.2060865809495917E-3</v>
      </c>
      <c r="G40" s="13">
        <v>0.156</v>
      </c>
      <c r="H40" s="5">
        <v>660150</v>
      </c>
      <c r="I40" s="6" t="s">
        <v>9</v>
      </c>
      <c r="J40" s="8">
        <f t="shared" si="10"/>
        <v>231525</v>
      </c>
      <c r="K40" s="5">
        <f t="shared" si="1"/>
        <v>428625</v>
      </c>
      <c r="L40" s="16">
        <f t="shared" si="2"/>
        <v>0.6492842535787321</v>
      </c>
    </row>
    <row r="41" spans="1:12" x14ac:dyDescent="0.3">
      <c r="A41" s="7">
        <f t="shared" si="8"/>
        <v>44805</v>
      </c>
      <c r="B41" s="6">
        <f t="shared" si="0"/>
        <v>2022</v>
      </c>
      <c r="C41" s="6">
        <v>40</v>
      </c>
      <c r="D41" s="4">
        <v>403.68</v>
      </c>
      <c r="E41" s="17">
        <f t="shared" si="3"/>
        <v>402.58</v>
      </c>
      <c r="F41" s="19">
        <f t="shared" si="4"/>
        <v>2.7249306381292677E-3</v>
      </c>
      <c r="G41" s="13">
        <v>0.20100000000000001</v>
      </c>
      <c r="H41" s="5">
        <v>660150</v>
      </c>
      <c r="I41" s="6" t="s">
        <v>10</v>
      </c>
      <c r="J41" s="8">
        <f t="shared" si="10"/>
        <v>231525</v>
      </c>
      <c r="K41" s="5">
        <f t="shared" si="1"/>
        <v>428625</v>
      </c>
      <c r="L41" s="16">
        <f t="shared" si="2"/>
        <v>0.6492842535787321</v>
      </c>
    </row>
    <row r="42" spans="1:12" x14ac:dyDescent="0.3">
      <c r="A42" s="7">
        <f t="shared" si="8"/>
        <v>44835</v>
      </c>
      <c r="B42" s="6">
        <f t="shared" si="0"/>
        <v>2022</v>
      </c>
      <c r="C42" s="6">
        <v>41</v>
      </c>
      <c r="D42" s="4">
        <v>417.56</v>
      </c>
      <c r="E42" s="17">
        <f t="shared" si="3"/>
        <v>407.52</v>
      </c>
      <c r="F42" s="19">
        <f t="shared" si="4"/>
        <v>2.4044448701982999E-2</v>
      </c>
      <c r="G42" s="13">
        <v>0.21099999999999999</v>
      </c>
      <c r="H42" s="5">
        <v>660150</v>
      </c>
      <c r="I42" s="6" t="s">
        <v>11</v>
      </c>
      <c r="J42" s="8">
        <f t="shared" si="10"/>
        <v>231525</v>
      </c>
      <c r="K42" s="5">
        <f t="shared" si="1"/>
        <v>428625</v>
      </c>
      <c r="L42" s="16">
        <f t="shared" si="2"/>
        <v>0.6492842535787321</v>
      </c>
    </row>
    <row r="43" spans="1:12" x14ac:dyDescent="0.3">
      <c r="A43" s="7">
        <f t="shared" si="8"/>
        <v>44866</v>
      </c>
      <c r="B43" s="6">
        <f t="shared" si="0"/>
        <v>2022</v>
      </c>
      <c r="C43" s="6">
        <v>42</v>
      </c>
      <c r="D43" s="4">
        <v>406.72</v>
      </c>
      <c r="E43" s="17">
        <f t="shared" si="3"/>
        <v>409.32</v>
      </c>
      <c r="F43" s="19">
        <f t="shared" si="4"/>
        <v>0</v>
      </c>
      <c r="G43" s="13">
        <v>0.22500000000000001</v>
      </c>
      <c r="H43" s="5">
        <v>660150</v>
      </c>
      <c r="I43" s="6" t="s">
        <v>12</v>
      </c>
      <c r="J43" s="8">
        <f t="shared" si="10"/>
        <v>231525</v>
      </c>
      <c r="K43" s="5">
        <f t="shared" si="1"/>
        <v>428625</v>
      </c>
      <c r="L43" s="16">
        <f t="shared" si="2"/>
        <v>0.6492842535787321</v>
      </c>
    </row>
    <row r="44" spans="1:12" x14ac:dyDescent="0.3">
      <c r="A44" s="7">
        <f t="shared" si="8"/>
        <v>44896</v>
      </c>
      <c r="B44" s="6">
        <f t="shared" si="0"/>
        <v>2022</v>
      </c>
      <c r="C44" s="6">
        <v>43</v>
      </c>
      <c r="D44" s="4">
        <v>406.86</v>
      </c>
      <c r="E44" s="17">
        <f t="shared" si="3"/>
        <v>410.37999999999994</v>
      </c>
      <c r="F44" s="19">
        <f t="shared" si="4"/>
        <v>0</v>
      </c>
      <c r="G44" s="13">
        <v>0.245</v>
      </c>
      <c r="H44" s="5">
        <v>660150</v>
      </c>
      <c r="I44" s="6" t="s">
        <v>13</v>
      </c>
      <c r="J44" s="8">
        <f t="shared" si="10"/>
        <v>231525</v>
      </c>
      <c r="K44" s="5">
        <f t="shared" si="1"/>
        <v>428625</v>
      </c>
      <c r="L44" s="16">
        <f t="shared" si="2"/>
        <v>0.6492842535787321</v>
      </c>
    </row>
    <row r="45" spans="1:12" x14ac:dyDescent="0.3">
      <c r="A45" s="7">
        <f t="shared" si="8"/>
        <v>44927</v>
      </c>
      <c r="B45" s="6">
        <f t="shared" si="0"/>
        <v>2023</v>
      </c>
      <c r="C45" s="6">
        <v>44</v>
      </c>
      <c r="D45" s="4">
        <v>394.8</v>
      </c>
      <c r="E45" s="17">
        <f t="shared" si="3"/>
        <v>402.79333333333335</v>
      </c>
      <c r="F45" s="19">
        <f t="shared" si="4"/>
        <v>0</v>
      </c>
      <c r="G45" s="13">
        <v>0.25700000000000001</v>
      </c>
      <c r="H45" s="5">
        <v>711825</v>
      </c>
      <c r="I45" s="6" t="s">
        <v>14</v>
      </c>
      <c r="J45" s="15">
        <f>J44*1.05</f>
        <v>243101.25</v>
      </c>
      <c r="K45" s="5">
        <f t="shared" si="1"/>
        <v>468723.75</v>
      </c>
      <c r="L45" s="16">
        <f t="shared" si="2"/>
        <v>0.65848171952375933</v>
      </c>
    </row>
    <row r="46" spans="1:12" x14ac:dyDescent="0.3">
      <c r="A46" s="7">
        <f t="shared" si="8"/>
        <v>44958</v>
      </c>
      <c r="B46" s="6">
        <f t="shared" si="0"/>
        <v>2023</v>
      </c>
      <c r="C46" s="6">
        <v>45</v>
      </c>
      <c r="D46" s="4">
        <v>384.49</v>
      </c>
      <c r="E46" s="17">
        <f t="shared" si="3"/>
        <v>395.38333333333338</v>
      </c>
      <c r="F46" s="19">
        <f t="shared" si="4"/>
        <v>0</v>
      </c>
      <c r="G46" s="13">
        <v>0.254</v>
      </c>
      <c r="H46" s="5">
        <v>711825</v>
      </c>
      <c r="I46" s="6" t="s">
        <v>15</v>
      </c>
      <c r="J46" s="8">
        <f>$J$45</f>
        <v>243101.25</v>
      </c>
      <c r="K46" s="5">
        <f t="shared" si="1"/>
        <v>468723.75</v>
      </c>
      <c r="L46" s="16">
        <f t="shared" si="2"/>
        <v>0.65848171952375933</v>
      </c>
    </row>
    <row r="47" spans="1:12" x14ac:dyDescent="0.3">
      <c r="A47" s="7">
        <f t="shared" si="8"/>
        <v>44986</v>
      </c>
      <c r="B47" s="6">
        <f t="shared" si="0"/>
        <v>2023</v>
      </c>
      <c r="C47" s="6">
        <v>46</v>
      </c>
      <c r="D47" s="4">
        <v>384.19</v>
      </c>
      <c r="E47" s="17">
        <f t="shared" si="3"/>
        <v>387.82666666666665</v>
      </c>
      <c r="F47" s="19">
        <f t="shared" si="4"/>
        <v>0</v>
      </c>
      <c r="G47" s="13">
        <v>0.252</v>
      </c>
      <c r="H47" s="5">
        <v>711825</v>
      </c>
      <c r="I47" s="6" t="s">
        <v>16</v>
      </c>
      <c r="J47" s="8">
        <f t="shared" ref="J47:J56" si="11">$J$45</f>
        <v>243101.25</v>
      </c>
      <c r="K47" s="5">
        <f t="shared" si="1"/>
        <v>468723.75</v>
      </c>
      <c r="L47" s="16">
        <f t="shared" si="2"/>
        <v>0.65848171952375933</v>
      </c>
    </row>
    <row r="48" spans="1:12" x14ac:dyDescent="0.3">
      <c r="A48" s="7">
        <f t="shared" si="8"/>
        <v>45017</v>
      </c>
      <c r="B48" s="6">
        <f t="shared" si="0"/>
        <v>2023</v>
      </c>
      <c r="C48" s="6">
        <v>47</v>
      </c>
      <c r="D48" s="4">
        <v>375.19</v>
      </c>
      <c r="E48" s="17">
        <f t="shared" si="3"/>
        <v>381.29</v>
      </c>
      <c r="F48" s="19">
        <f t="shared" si="4"/>
        <v>0</v>
      </c>
      <c r="G48" s="13">
        <v>0.24</v>
      </c>
      <c r="H48" s="5">
        <v>711825</v>
      </c>
      <c r="I48" s="6" t="s">
        <v>17</v>
      </c>
      <c r="J48" s="8">
        <f t="shared" si="11"/>
        <v>243101.25</v>
      </c>
      <c r="K48" s="5">
        <f t="shared" si="1"/>
        <v>468723.75</v>
      </c>
      <c r="L48" s="16">
        <f t="shared" si="2"/>
        <v>0.65848171952375933</v>
      </c>
    </row>
    <row r="49" spans="1:12" x14ac:dyDescent="0.3">
      <c r="A49" s="7">
        <f t="shared" si="8"/>
        <v>45047</v>
      </c>
      <c r="B49" s="6">
        <f t="shared" si="0"/>
        <v>2023</v>
      </c>
      <c r="C49" s="6">
        <v>48</v>
      </c>
      <c r="D49" s="4">
        <v>371.83</v>
      </c>
      <c r="E49" s="17">
        <f t="shared" si="3"/>
        <v>377.07</v>
      </c>
      <c r="F49" s="19">
        <f t="shared" si="4"/>
        <v>0</v>
      </c>
      <c r="G49" s="13">
        <v>0.215</v>
      </c>
      <c r="H49" s="5">
        <v>711825</v>
      </c>
      <c r="I49" s="6" t="s">
        <v>18</v>
      </c>
      <c r="J49" s="8">
        <f t="shared" si="11"/>
        <v>243101.25</v>
      </c>
      <c r="K49" s="5">
        <f t="shared" si="1"/>
        <v>468723.75</v>
      </c>
      <c r="L49" s="16">
        <f t="shared" si="2"/>
        <v>0.65848171952375933</v>
      </c>
    </row>
    <row r="50" spans="1:12" x14ac:dyDescent="0.3">
      <c r="A50" s="7">
        <f t="shared" si="8"/>
        <v>45078</v>
      </c>
      <c r="B50" s="6">
        <f t="shared" si="0"/>
        <v>2023</v>
      </c>
      <c r="C50" s="6">
        <v>49</v>
      </c>
      <c r="D50" s="4">
        <v>370.13</v>
      </c>
      <c r="E50" s="17">
        <f t="shared" si="3"/>
        <v>372.38333333333338</v>
      </c>
      <c r="F50" s="19">
        <f t="shared" si="4"/>
        <v>0</v>
      </c>
      <c r="G50" s="13">
        <v>0.20100000000000001</v>
      </c>
      <c r="H50" s="5">
        <v>711825</v>
      </c>
      <c r="I50" s="6" t="s">
        <v>7</v>
      </c>
      <c r="J50" s="8">
        <f t="shared" si="11"/>
        <v>243101.25</v>
      </c>
      <c r="K50" s="5">
        <f t="shared" si="1"/>
        <v>468723.75</v>
      </c>
      <c r="L50" s="16">
        <f t="shared" si="2"/>
        <v>0.65848171952375933</v>
      </c>
    </row>
    <row r="51" spans="1:12" x14ac:dyDescent="0.3">
      <c r="A51" s="7">
        <f t="shared" si="8"/>
        <v>45108</v>
      </c>
      <c r="B51" s="6">
        <f t="shared" si="0"/>
        <v>2023</v>
      </c>
      <c r="C51" s="6">
        <v>50</v>
      </c>
      <c r="D51" s="4">
        <v>378.66</v>
      </c>
      <c r="E51" s="17">
        <f t="shared" si="3"/>
        <v>373.54</v>
      </c>
      <c r="F51" s="19">
        <f t="shared" si="4"/>
        <v>1.3521364812760799E-2</v>
      </c>
      <c r="G51" s="13">
        <v>0.17599999999999999</v>
      </c>
      <c r="H51" s="5">
        <v>711825</v>
      </c>
      <c r="I51" s="6" t="s">
        <v>8</v>
      </c>
      <c r="J51" s="8">
        <f t="shared" si="11"/>
        <v>243101.25</v>
      </c>
      <c r="K51" s="5">
        <f t="shared" si="1"/>
        <v>468723.75</v>
      </c>
      <c r="L51" s="16">
        <f t="shared" si="2"/>
        <v>0.65848171952375933</v>
      </c>
    </row>
    <row r="52" spans="1:12" x14ac:dyDescent="0.3">
      <c r="A52" s="7">
        <f t="shared" si="8"/>
        <v>45139</v>
      </c>
      <c r="B52" s="6">
        <f t="shared" si="0"/>
        <v>2023</v>
      </c>
      <c r="C52" s="6">
        <v>51</v>
      </c>
      <c r="D52" s="4">
        <v>384.89</v>
      </c>
      <c r="E52" s="17">
        <f t="shared" si="3"/>
        <v>377.89333333333326</v>
      </c>
      <c r="F52" s="19">
        <f t="shared" si="4"/>
        <v>1.8178353988585638E-2</v>
      </c>
      <c r="G52" s="13">
        <v>0.16400000000000001</v>
      </c>
      <c r="H52" s="5">
        <v>711825</v>
      </c>
      <c r="I52" s="6" t="s">
        <v>9</v>
      </c>
      <c r="J52" s="8">
        <f t="shared" si="11"/>
        <v>243101.25</v>
      </c>
      <c r="K52" s="5">
        <f t="shared" si="1"/>
        <v>468723.75</v>
      </c>
      <c r="L52" s="16">
        <f t="shared" si="2"/>
        <v>0.65848171952375933</v>
      </c>
    </row>
    <row r="53" spans="1:12" x14ac:dyDescent="0.3">
      <c r="A53" s="7">
        <f t="shared" si="8"/>
        <v>45170</v>
      </c>
      <c r="B53" s="6">
        <f t="shared" si="0"/>
        <v>2023</v>
      </c>
      <c r="C53" s="6">
        <v>52</v>
      </c>
      <c r="D53" s="4">
        <v>386.37</v>
      </c>
      <c r="E53" s="17">
        <f t="shared" si="3"/>
        <v>383.30666666666667</v>
      </c>
      <c r="F53" s="19">
        <f t="shared" si="4"/>
        <v>7.9284968639732195E-3</v>
      </c>
      <c r="G53" s="13">
        <v>0.122</v>
      </c>
      <c r="H53" s="5">
        <v>711825</v>
      </c>
      <c r="I53" s="6" t="s">
        <v>10</v>
      </c>
      <c r="J53" s="8">
        <f t="shared" si="11"/>
        <v>243101.25</v>
      </c>
      <c r="K53" s="5">
        <f t="shared" si="1"/>
        <v>468723.75</v>
      </c>
      <c r="L53" s="16">
        <f t="shared" si="2"/>
        <v>0.65848171952375933</v>
      </c>
    </row>
    <row r="54" spans="1:12" x14ac:dyDescent="0.3">
      <c r="A54" s="7">
        <f t="shared" si="8"/>
        <v>45200</v>
      </c>
      <c r="B54" s="6">
        <f t="shared" si="0"/>
        <v>2023</v>
      </c>
      <c r="C54" s="6">
        <v>53</v>
      </c>
      <c r="D54" s="4">
        <v>385.52</v>
      </c>
      <c r="E54" s="17">
        <f t="shared" si="3"/>
        <v>385.59333333333331</v>
      </c>
      <c r="F54" s="19">
        <f t="shared" si="4"/>
        <v>0</v>
      </c>
      <c r="G54" s="13">
        <v>9.9000000000000005E-2</v>
      </c>
      <c r="H54" s="5">
        <v>711825</v>
      </c>
      <c r="I54" s="6" t="s">
        <v>11</v>
      </c>
      <c r="J54" s="8">
        <f t="shared" si="11"/>
        <v>243101.25</v>
      </c>
      <c r="K54" s="5">
        <f t="shared" si="1"/>
        <v>468723.75</v>
      </c>
      <c r="L54" s="16">
        <f t="shared" si="2"/>
        <v>0.65848171952375933</v>
      </c>
    </row>
    <row r="55" spans="1:12" x14ac:dyDescent="0.3">
      <c r="A55" s="7">
        <f t="shared" si="8"/>
        <v>45231</v>
      </c>
      <c r="B55" s="6">
        <f t="shared" si="0"/>
        <v>2023</v>
      </c>
      <c r="C55" s="6">
        <v>54</v>
      </c>
      <c r="D55" s="4">
        <v>378.68</v>
      </c>
      <c r="E55" s="17">
        <f t="shared" si="3"/>
        <v>383.52333333333331</v>
      </c>
      <c r="F55" s="19">
        <f t="shared" si="4"/>
        <v>0</v>
      </c>
      <c r="G55" s="13">
        <v>7.9000000000000001E-2</v>
      </c>
      <c r="H55" s="5">
        <v>711825</v>
      </c>
      <c r="I55" s="6" t="s">
        <v>12</v>
      </c>
      <c r="J55" s="8">
        <f t="shared" si="11"/>
        <v>243101.25</v>
      </c>
      <c r="K55" s="5">
        <f t="shared" si="1"/>
        <v>468723.75</v>
      </c>
      <c r="L55" s="16">
        <f t="shared" si="2"/>
        <v>0.65848171952375933</v>
      </c>
    </row>
    <row r="56" spans="1:12" x14ac:dyDescent="0.3">
      <c r="A56" s="7">
        <f t="shared" si="8"/>
        <v>45261</v>
      </c>
      <c r="B56" s="6">
        <f t="shared" si="0"/>
        <v>2023</v>
      </c>
      <c r="C56" s="6">
        <v>55</v>
      </c>
      <c r="D56" s="4">
        <v>381.11</v>
      </c>
      <c r="E56" s="17">
        <f t="shared" si="3"/>
        <v>381.77</v>
      </c>
      <c r="F56" s="19">
        <f t="shared" si="4"/>
        <v>0</v>
      </c>
      <c r="G56" s="13">
        <v>5.5E-2</v>
      </c>
      <c r="H56" s="5">
        <v>711825</v>
      </c>
      <c r="I56" s="6" t="s">
        <v>13</v>
      </c>
      <c r="J56" s="8">
        <f t="shared" si="11"/>
        <v>243101.25</v>
      </c>
      <c r="K56" s="5">
        <f t="shared" si="1"/>
        <v>468723.75</v>
      </c>
      <c r="L56" s="16">
        <f t="shared" si="2"/>
        <v>0.65848171952375933</v>
      </c>
    </row>
    <row r="57" spans="1:12" x14ac:dyDescent="0.3">
      <c r="A57" s="7">
        <f t="shared" si="8"/>
        <v>45292</v>
      </c>
      <c r="B57" s="6">
        <f t="shared" si="0"/>
        <v>2024</v>
      </c>
      <c r="C57" s="6">
        <v>56</v>
      </c>
      <c r="D57" s="4">
        <v>381.63</v>
      </c>
      <c r="E57" s="17">
        <f t="shared" si="3"/>
        <v>380.47333333333336</v>
      </c>
      <c r="F57" s="19">
        <f t="shared" si="4"/>
        <v>3.0308588598030499E-3</v>
      </c>
      <c r="G57" s="13">
        <v>3.7999999999999999E-2</v>
      </c>
      <c r="H57" s="5">
        <v>773649</v>
      </c>
      <c r="I57" s="6" t="s">
        <v>14</v>
      </c>
      <c r="J57" s="15">
        <f>J56*1.05</f>
        <v>255256.3125</v>
      </c>
      <c r="K57" s="5">
        <f t="shared" si="1"/>
        <v>518392.6875</v>
      </c>
      <c r="L57" s="16">
        <f t="shared" si="2"/>
        <v>0.67006185944788921</v>
      </c>
    </row>
    <row r="58" spans="1:12" x14ac:dyDescent="0.3">
      <c r="A58" s="7">
        <f t="shared" si="8"/>
        <v>45323</v>
      </c>
      <c r="B58" s="6">
        <f t="shared" si="0"/>
        <v>2024</v>
      </c>
      <c r="C58" s="6">
        <v>57</v>
      </c>
      <c r="D58" s="4">
        <v>387.37</v>
      </c>
      <c r="E58" s="17">
        <f t="shared" si="3"/>
        <v>383.37000000000006</v>
      </c>
      <c r="F58" s="19">
        <f t="shared" si="4"/>
        <v>1.0326044866664798E-2</v>
      </c>
      <c r="G58" s="13">
        <v>3.6999999999999998E-2</v>
      </c>
      <c r="H58" s="5">
        <v>773649</v>
      </c>
      <c r="I58" s="6" t="s">
        <v>15</v>
      </c>
      <c r="J58" s="8">
        <f>$J$57</f>
        <v>255256.3125</v>
      </c>
      <c r="K58" s="5">
        <f t="shared" si="1"/>
        <v>518392.6875</v>
      </c>
      <c r="L58" s="16">
        <f t="shared" si="2"/>
        <v>0.67006185944788921</v>
      </c>
    </row>
    <row r="59" spans="1:12" x14ac:dyDescent="0.3">
      <c r="A59" s="7">
        <f t="shared" si="8"/>
        <v>45352</v>
      </c>
      <c r="B59" s="6">
        <f t="shared" si="0"/>
        <v>2024</v>
      </c>
      <c r="C59" s="6">
        <v>58</v>
      </c>
      <c r="D59" s="4">
        <v>394.56</v>
      </c>
      <c r="E59" s="17">
        <f t="shared" si="3"/>
        <v>387.8533333333333</v>
      </c>
      <c r="F59" s="19">
        <f t="shared" si="4"/>
        <v>1.6997837253311807E-2</v>
      </c>
      <c r="G59" s="13">
        <v>3.5999999999999997E-2</v>
      </c>
      <c r="H59" s="5">
        <v>773649</v>
      </c>
      <c r="I59" s="6" t="s">
        <v>16</v>
      </c>
      <c r="J59" s="8">
        <f t="shared" ref="J59:J68" si="12">$J$57</f>
        <v>255256.3125</v>
      </c>
      <c r="K59" s="5">
        <f t="shared" si="1"/>
        <v>518392.6875</v>
      </c>
      <c r="L59" s="16">
        <f t="shared" si="2"/>
        <v>0.67006185944788921</v>
      </c>
    </row>
    <row r="60" spans="1:12" x14ac:dyDescent="0.3">
      <c r="A60" s="7">
        <f t="shared" si="8"/>
        <v>45383</v>
      </c>
      <c r="B60" s="6">
        <f t="shared" si="0"/>
        <v>2024</v>
      </c>
      <c r="C60" s="6">
        <v>59</v>
      </c>
      <c r="D60" s="4">
        <v>392.42</v>
      </c>
      <c r="E60" s="17">
        <f t="shared" si="3"/>
        <v>391.45000000000005</v>
      </c>
      <c r="F60" s="19">
        <f t="shared" si="4"/>
        <v>2.471841394424266E-3</v>
      </c>
      <c r="G60" s="13">
        <v>3.6999999999999998E-2</v>
      </c>
      <c r="H60" s="5">
        <v>773649</v>
      </c>
      <c r="I60" s="6" t="s">
        <v>17</v>
      </c>
      <c r="J60" s="8">
        <f t="shared" si="12"/>
        <v>255256.3125</v>
      </c>
      <c r="K60" s="5">
        <f t="shared" si="1"/>
        <v>518392.6875</v>
      </c>
      <c r="L60" s="16">
        <f t="shared" si="2"/>
        <v>0.67006185944788921</v>
      </c>
    </row>
    <row r="61" spans="1:12" x14ac:dyDescent="0.3">
      <c r="A61" s="7">
        <f t="shared" si="8"/>
        <v>45413</v>
      </c>
      <c r="B61" s="6">
        <f t="shared" si="0"/>
        <v>2024</v>
      </c>
      <c r="C61" s="6">
        <v>60</v>
      </c>
      <c r="D61" s="4">
        <v>387.03</v>
      </c>
      <c r="E61" s="17">
        <f t="shared" si="3"/>
        <v>391.33666666666664</v>
      </c>
      <c r="F61" s="19">
        <f t="shared" si="4"/>
        <v>0</v>
      </c>
      <c r="G61" s="13">
        <v>0.04</v>
      </c>
      <c r="H61" s="5">
        <v>773649</v>
      </c>
      <c r="I61" s="6" t="s">
        <v>18</v>
      </c>
      <c r="J61" s="8">
        <f t="shared" si="12"/>
        <v>255256.3125</v>
      </c>
      <c r="K61" s="5">
        <f t="shared" si="1"/>
        <v>518392.6875</v>
      </c>
      <c r="L61" s="16">
        <f t="shared" si="2"/>
        <v>0.67006185944788921</v>
      </c>
    </row>
    <row r="62" spans="1:12" x14ac:dyDescent="0.3">
      <c r="A62" s="7">
        <f t="shared" si="8"/>
        <v>45444</v>
      </c>
      <c r="B62" s="6">
        <f t="shared" si="0"/>
        <v>2024</v>
      </c>
      <c r="C62" s="6">
        <v>61</v>
      </c>
      <c r="D62" s="4">
        <v>394.08</v>
      </c>
      <c r="E62" s="17">
        <f t="shared" si="3"/>
        <v>391.17666666666668</v>
      </c>
      <c r="F62" s="19">
        <f t="shared" si="4"/>
        <v>7.3673704154824087E-3</v>
      </c>
      <c r="G62" s="13">
        <v>3.6999999999999998E-2</v>
      </c>
      <c r="H62" s="5">
        <v>773649</v>
      </c>
      <c r="I62" s="6" t="s">
        <v>7</v>
      </c>
      <c r="J62" s="8">
        <f t="shared" si="12"/>
        <v>255256.3125</v>
      </c>
      <c r="K62" s="5">
        <f t="shared" si="1"/>
        <v>518392.6875</v>
      </c>
      <c r="L62" s="16">
        <f t="shared" si="2"/>
        <v>0.67006185944788921</v>
      </c>
    </row>
    <row r="63" spans="1:12" x14ac:dyDescent="0.3">
      <c r="A63" s="7">
        <f t="shared" si="8"/>
        <v>45474</v>
      </c>
      <c r="B63" s="6">
        <f t="shared" si="0"/>
        <v>2024</v>
      </c>
      <c r="C63" s="6">
        <v>62</v>
      </c>
      <c r="D63" s="4">
        <v>392.52</v>
      </c>
      <c r="E63" s="17">
        <f t="shared" si="3"/>
        <v>391.21</v>
      </c>
      <c r="F63" s="19">
        <f t="shared" si="4"/>
        <v>3.3374095587486046E-3</v>
      </c>
      <c r="G63" s="13">
        <v>4.1000000000000002E-2</v>
      </c>
      <c r="H63" s="5">
        <v>773649</v>
      </c>
      <c r="I63" s="6" t="s">
        <v>8</v>
      </c>
      <c r="J63" s="8">
        <f t="shared" si="12"/>
        <v>255256.3125</v>
      </c>
      <c r="K63" s="5">
        <f t="shared" si="1"/>
        <v>518392.6875</v>
      </c>
      <c r="L63" s="16">
        <f t="shared" si="2"/>
        <v>0.67006185944788921</v>
      </c>
    </row>
    <row r="64" spans="1:12" x14ac:dyDescent="0.3">
      <c r="A64" s="7">
        <f t="shared" si="8"/>
        <v>45505</v>
      </c>
      <c r="B64" s="6">
        <f t="shared" si="0"/>
        <v>2024</v>
      </c>
      <c r="C64" s="6">
        <v>63</v>
      </c>
      <c r="D64" s="4">
        <v>394.5</v>
      </c>
      <c r="E64" s="17">
        <f t="shared" si="3"/>
        <v>393.7</v>
      </c>
      <c r="F64" s="19">
        <f t="shared" si="4"/>
        <v>2.0278833967047184E-3</v>
      </c>
      <c r="G64" s="13">
        <v>3.4000000000000002E-2</v>
      </c>
      <c r="H64" s="5">
        <v>773649</v>
      </c>
      <c r="I64" s="6" t="s">
        <v>9</v>
      </c>
      <c r="J64" s="8">
        <f t="shared" si="12"/>
        <v>255256.3125</v>
      </c>
      <c r="K64" s="5">
        <f t="shared" si="1"/>
        <v>518392.6875</v>
      </c>
      <c r="L64" s="16">
        <f t="shared" si="2"/>
        <v>0.67006185944788921</v>
      </c>
    </row>
    <row r="65" spans="1:12" x14ac:dyDescent="0.3">
      <c r="A65" s="7">
        <f t="shared" si="8"/>
        <v>45536</v>
      </c>
      <c r="B65" s="6">
        <f t="shared" si="0"/>
        <v>2024</v>
      </c>
      <c r="C65" s="6">
        <v>64</v>
      </c>
      <c r="D65" s="4">
        <v>394.49</v>
      </c>
      <c r="E65" s="17">
        <f t="shared" si="3"/>
        <v>393.83666666666664</v>
      </c>
      <c r="F65" s="19">
        <f t="shared" si="4"/>
        <v>1.6561467548819092E-3</v>
      </c>
      <c r="G65" s="13">
        <v>0.03</v>
      </c>
      <c r="H65" s="5">
        <v>773649</v>
      </c>
      <c r="I65" s="6" t="s">
        <v>10</v>
      </c>
      <c r="J65" s="8">
        <f t="shared" si="12"/>
        <v>255256.3125</v>
      </c>
      <c r="K65" s="5">
        <f t="shared" si="1"/>
        <v>518392.6875</v>
      </c>
      <c r="L65" s="16">
        <f t="shared" si="2"/>
        <v>0.67006185944788921</v>
      </c>
    </row>
    <row r="66" spans="1:12" x14ac:dyDescent="0.3">
      <c r="A66" s="7">
        <f t="shared" si="8"/>
        <v>45566</v>
      </c>
      <c r="B66" s="6">
        <f t="shared" si="0"/>
        <v>2024</v>
      </c>
      <c r="C66" s="6">
        <v>65</v>
      </c>
      <c r="D66" s="4">
        <v>401.37</v>
      </c>
      <c r="E66" s="17">
        <f t="shared" si="3"/>
        <v>396.78666666666669</v>
      </c>
      <c r="F66" s="19">
        <f t="shared" si="4"/>
        <v>1.1419222496283514E-2</v>
      </c>
      <c r="G66" s="13">
        <v>3.2000000000000001E-2</v>
      </c>
      <c r="H66" s="5">
        <v>773649</v>
      </c>
      <c r="I66" s="6" t="s">
        <v>11</v>
      </c>
      <c r="J66" s="8">
        <f t="shared" si="12"/>
        <v>255256.3125</v>
      </c>
      <c r="K66" s="5">
        <f t="shared" si="1"/>
        <v>518392.6875</v>
      </c>
      <c r="L66" s="16">
        <f t="shared" si="2"/>
        <v>0.67006185944788921</v>
      </c>
    </row>
    <row r="67" spans="1:12" x14ac:dyDescent="0.3">
      <c r="A67" s="7">
        <f t="shared" si="8"/>
        <v>45597</v>
      </c>
      <c r="B67" s="6">
        <f t="shared" ref="B67:B82" si="13">YEAR(A67)</f>
        <v>2024</v>
      </c>
      <c r="C67" s="6">
        <v>66</v>
      </c>
      <c r="D67" s="4">
        <v>408.63</v>
      </c>
      <c r="E67" s="17">
        <f t="shared" si="3"/>
        <v>401.49666666666667</v>
      </c>
      <c r="F67" s="19">
        <f t="shared" si="4"/>
        <v>1.7456704924585384E-2</v>
      </c>
      <c r="G67" s="13">
        <v>3.5000000000000003E-2</v>
      </c>
      <c r="H67" s="5">
        <v>773649</v>
      </c>
      <c r="I67" s="6" t="s">
        <v>12</v>
      </c>
      <c r="J67" s="8">
        <f t="shared" si="12"/>
        <v>255256.3125</v>
      </c>
      <c r="K67" s="5">
        <f t="shared" ref="K67:K82" si="14">H67-J67</f>
        <v>518392.6875</v>
      </c>
      <c r="L67" s="16">
        <f t="shared" ref="L67:L82" si="15">K67/H67</f>
        <v>0.67006185944788921</v>
      </c>
    </row>
    <row r="68" spans="1:12" x14ac:dyDescent="0.3">
      <c r="A68" s="7">
        <f t="shared" si="8"/>
        <v>45627</v>
      </c>
      <c r="B68" s="6">
        <f t="shared" si="13"/>
        <v>2024</v>
      </c>
      <c r="C68" s="6">
        <v>67</v>
      </c>
      <c r="D68" s="4">
        <v>411.33</v>
      </c>
      <c r="E68" s="17">
        <f t="shared" si="3"/>
        <v>407.10999999999996</v>
      </c>
      <c r="F68" s="19">
        <f t="shared" si="4"/>
        <v>1.0259402426275807E-2</v>
      </c>
      <c r="G68" s="13">
        <v>3.3000000000000002E-2</v>
      </c>
      <c r="H68" s="5">
        <v>773649</v>
      </c>
      <c r="I68" s="6" t="s">
        <v>13</v>
      </c>
      <c r="J68" s="8">
        <f t="shared" si="12"/>
        <v>255256.3125</v>
      </c>
      <c r="K68" s="5">
        <f t="shared" si="14"/>
        <v>518392.6875</v>
      </c>
      <c r="L68" s="16">
        <f t="shared" si="15"/>
        <v>0.67006185944788921</v>
      </c>
    </row>
    <row r="69" spans="1:12" x14ac:dyDescent="0.3">
      <c r="A69" s="7">
        <f t="shared" si="8"/>
        <v>45658</v>
      </c>
      <c r="B69" s="6">
        <f t="shared" si="13"/>
        <v>2025</v>
      </c>
      <c r="C69" s="6">
        <v>68</v>
      </c>
      <c r="D69" s="4">
        <v>411.17</v>
      </c>
      <c r="E69" s="17">
        <f t="shared" ref="E69:E82" si="16">AVERAGE(D67:D69)</f>
        <v>410.37666666666672</v>
      </c>
      <c r="F69" s="19">
        <f t="shared" ref="F69:F82" si="17">IF((D69-E69)/D69&gt;0,(D69-E69)/D69,0)</f>
        <v>1.9294533485742975E-3</v>
      </c>
      <c r="G69" s="13">
        <v>4.2000000000000003E-2</v>
      </c>
      <c r="H69" s="5">
        <v>883671</v>
      </c>
      <c r="I69" s="6" t="s">
        <v>14</v>
      </c>
      <c r="J69" s="15">
        <f>J68*1.05</f>
        <v>268019.12812499999</v>
      </c>
      <c r="K69" s="5">
        <f t="shared" si="14"/>
        <v>615651.87187499995</v>
      </c>
      <c r="L69" s="16">
        <f t="shared" si="15"/>
        <v>0.69669806056213224</v>
      </c>
    </row>
    <row r="70" spans="1:12" x14ac:dyDescent="0.3">
      <c r="A70" s="7">
        <f t="shared" si="8"/>
        <v>45689</v>
      </c>
      <c r="B70" s="6">
        <f t="shared" si="13"/>
        <v>2025</v>
      </c>
      <c r="C70" s="6">
        <v>69</v>
      </c>
      <c r="D70" s="4">
        <v>402.85</v>
      </c>
      <c r="E70" s="17">
        <f t="shared" si="16"/>
        <v>408.45</v>
      </c>
      <c r="F70" s="19">
        <f t="shared" si="17"/>
        <v>0</v>
      </c>
      <c r="G70" s="13">
        <v>4.4999999999999998E-2</v>
      </c>
      <c r="H70" s="5">
        <v>883671</v>
      </c>
      <c r="I70" s="6" t="s">
        <v>15</v>
      </c>
      <c r="J70" s="8">
        <f>$J$69</f>
        <v>268019.12812499999</v>
      </c>
      <c r="K70" s="5">
        <f t="shared" si="14"/>
        <v>615651.87187499995</v>
      </c>
      <c r="L70" s="16">
        <f t="shared" si="15"/>
        <v>0.69669806056213224</v>
      </c>
    </row>
    <row r="71" spans="1:12" x14ac:dyDescent="0.3">
      <c r="A71" s="7">
        <f t="shared" si="8"/>
        <v>45717</v>
      </c>
      <c r="B71" s="6">
        <f t="shared" si="13"/>
        <v>2025</v>
      </c>
      <c r="C71" s="6">
        <v>70</v>
      </c>
      <c r="D71" s="4">
        <v>399.18</v>
      </c>
      <c r="E71" s="17">
        <f t="shared" si="16"/>
        <v>404.40000000000003</v>
      </c>
      <c r="F71" s="19">
        <f t="shared" si="17"/>
        <v>0</v>
      </c>
      <c r="G71" s="13">
        <v>4.3999999999999997E-2</v>
      </c>
      <c r="H71" s="5">
        <v>883671</v>
      </c>
      <c r="I71" s="6" t="s">
        <v>16</v>
      </c>
      <c r="J71" s="8">
        <f t="shared" ref="J71:J80" si="18">$J$69</f>
        <v>268019.12812499999</v>
      </c>
      <c r="K71" s="5">
        <f t="shared" si="14"/>
        <v>615651.87187499995</v>
      </c>
      <c r="L71" s="16">
        <f t="shared" si="15"/>
        <v>0.69669806056213224</v>
      </c>
    </row>
    <row r="72" spans="1:12" x14ac:dyDescent="0.3">
      <c r="A72" s="7">
        <f t="shared" si="8"/>
        <v>45748</v>
      </c>
      <c r="B72" s="6">
        <f t="shared" si="13"/>
        <v>2025</v>
      </c>
      <c r="C72" s="6">
        <v>71</v>
      </c>
      <c r="D72" s="4">
        <v>405.66</v>
      </c>
      <c r="E72" s="17">
        <f t="shared" si="16"/>
        <v>402.56333333333333</v>
      </c>
      <c r="F72" s="19">
        <f t="shared" si="17"/>
        <v>7.6336505119230201E-3</v>
      </c>
      <c r="G72" s="13">
        <v>4.7E-2</v>
      </c>
      <c r="H72" s="5">
        <v>883671</v>
      </c>
      <c r="I72" s="6" t="s">
        <v>17</v>
      </c>
      <c r="J72" s="8">
        <f t="shared" si="18"/>
        <v>268019.12812499999</v>
      </c>
      <c r="K72" s="5">
        <f t="shared" si="14"/>
        <v>615651.87187499995</v>
      </c>
      <c r="L72" s="16">
        <f t="shared" si="15"/>
        <v>0.69669806056213224</v>
      </c>
    </row>
    <row r="73" spans="1:12" x14ac:dyDescent="0.3">
      <c r="A73" s="7">
        <f t="shared" si="8"/>
        <v>45778</v>
      </c>
      <c r="B73" s="6">
        <f t="shared" si="13"/>
        <v>2025</v>
      </c>
      <c r="C73" s="6">
        <v>72</v>
      </c>
      <c r="D73" s="4">
        <v>403.12</v>
      </c>
      <c r="E73" s="17">
        <f t="shared" si="16"/>
        <v>402.65333333333336</v>
      </c>
      <c r="F73" s="19">
        <f t="shared" si="17"/>
        <v>1.157637097307601E-3</v>
      </c>
      <c r="G73" s="13">
        <v>4.9000000000000002E-2</v>
      </c>
      <c r="H73" s="5">
        <v>883671</v>
      </c>
      <c r="I73" s="6" t="s">
        <v>18</v>
      </c>
      <c r="J73" s="8">
        <f t="shared" si="18"/>
        <v>268019.12812499999</v>
      </c>
      <c r="K73" s="5">
        <f t="shared" si="14"/>
        <v>615651.87187499995</v>
      </c>
      <c r="L73" s="16">
        <f t="shared" si="15"/>
        <v>0.69669806056213224</v>
      </c>
    </row>
    <row r="74" spans="1:12" x14ac:dyDescent="0.3">
      <c r="A74" s="7">
        <f t="shared" si="8"/>
        <v>45809</v>
      </c>
      <c r="B74" s="6">
        <f t="shared" si="13"/>
        <v>2025</v>
      </c>
      <c r="C74" s="6">
        <v>73</v>
      </c>
      <c r="D74" s="4">
        <v>401.74</v>
      </c>
      <c r="E74" s="17">
        <f t="shared" si="16"/>
        <v>403.50666666666666</v>
      </c>
      <c r="F74" s="19">
        <f t="shared" si="17"/>
        <v>0</v>
      </c>
      <c r="G74" s="13">
        <v>4.5999999999999999E-2</v>
      </c>
      <c r="H74" s="5">
        <v>883671</v>
      </c>
      <c r="I74" s="6" t="s">
        <v>7</v>
      </c>
      <c r="J74" s="8">
        <f t="shared" si="18"/>
        <v>268019.12812499999</v>
      </c>
      <c r="K74" s="5">
        <f t="shared" si="14"/>
        <v>615651.87187499995</v>
      </c>
      <c r="L74" s="16">
        <f t="shared" si="15"/>
        <v>0.69669806056213224</v>
      </c>
    </row>
    <row r="75" spans="1:12" x14ac:dyDescent="0.3">
      <c r="A75" s="7">
        <f t="shared" si="8"/>
        <v>45839</v>
      </c>
      <c r="B75" s="6">
        <f t="shared" si="13"/>
        <v>2025</v>
      </c>
      <c r="C75" s="6">
        <v>74</v>
      </c>
      <c r="D75" s="4">
        <v>398.85</v>
      </c>
      <c r="E75" s="17">
        <f t="shared" si="16"/>
        <v>401.23666666666668</v>
      </c>
      <c r="F75" s="19">
        <f t="shared" si="17"/>
        <v>0</v>
      </c>
      <c r="G75" s="13">
        <v>4.4999999999999998E-2</v>
      </c>
      <c r="H75" s="5">
        <v>883671</v>
      </c>
      <c r="I75" s="6" t="s">
        <v>8</v>
      </c>
      <c r="J75" s="8">
        <f t="shared" si="18"/>
        <v>268019.12812499999</v>
      </c>
      <c r="K75" s="5">
        <f t="shared" si="14"/>
        <v>615651.87187499995</v>
      </c>
      <c r="L75" s="16">
        <f t="shared" si="15"/>
        <v>0.69669806056213224</v>
      </c>
    </row>
    <row r="76" spans="1:12" x14ac:dyDescent="0.3">
      <c r="A76" s="7">
        <f t="shared" si="8"/>
        <v>45870</v>
      </c>
      <c r="B76" s="6">
        <f t="shared" si="13"/>
        <v>2025</v>
      </c>
      <c r="C76" s="6">
        <v>75</v>
      </c>
      <c r="D76" s="4">
        <v>395.77</v>
      </c>
      <c r="E76" s="17">
        <f t="shared" si="16"/>
        <v>398.78666666666669</v>
      </c>
      <c r="F76" s="19">
        <f t="shared" si="17"/>
        <v>0</v>
      </c>
      <c r="G76" s="13">
        <v>4.2999999999999997E-2</v>
      </c>
      <c r="H76" s="5">
        <v>883671</v>
      </c>
      <c r="I76" s="6" t="s">
        <v>9</v>
      </c>
      <c r="J76" s="8">
        <f t="shared" si="18"/>
        <v>268019.12812499999</v>
      </c>
      <c r="K76" s="5">
        <f t="shared" si="14"/>
        <v>615651.87187499995</v>
      </c>
      <c r="L76" s="16">
        <f t="shared" si="15"/>
        <v>0.69669806056213224</v>
      </c>
    </row>
    <row r="77" spans="1:12" x14ac:dyDescent="0.3">
      <c r="A77" s="7">
        <f t="shared" si="8"/>
        <v>45901</v>
      </c>
      <c r="B77" s="6">
        <f t="shared" si="13"/>
        <v>2025</v>
      </c>
      <c r="C77" s="6">
        <v>76</v>
      </c>
      <c r="D77" s="4">
        <v>391.24</v>
      </c>
      <c r="E77" s="17">
        <f t="shared" si="16"/>
        <v>395.28666666666669</v>
      </c>
      <c r="F77" s="19">
        <f t="shared" si="17"/>
        <v>0</v>
      </c>
      <c r="G77" s="13">
        <v>0.04</v>
      </c>
      <c r="H77" s="5">
        <v>883671</v>
      </c>
      <c r="I77" s="6" t="s">
        <v>10</v>
      </c>
      <c r="J77" s="8">
        <f t="shared" si="18"/>
        <v>268019.12812499999</v>
      </c>
      <c r="K77" s="5">
        <f t="shared" si="14"/>
        <v>615651.87187499995</v>
      </c>
      <c r="L77" s="16">
        <f t="shared" si="15"/>
        <v>0.69669806056213224</v>
      </c>
    </row>
    <row r="78" spans="1:12" x14ac:dyDescent="0.3">
      <c r="A78" s="7">
        <f t="shared" si="8"/>
        <v>45931</v>
      </c>
      <c r="B78" s="6">
        <f t="shared" si="13"/>
        <v>2025</v>
      </c>
      <c r="C78" s="6">
        <v>77</v>
      </c>
      <c r="D78" s="4">
        <v>389.55</v>
      </c>
      <c r="E78" s="17">
        <f t="shared" si="16"/>
        <v>392.18666666666667</v>
      </c>
      <c r="F78" s="19">
        <f t="shared" si="17"/>
        <v>0</v>
      </c>
      <c r="G78" s="13">
        <v>4.2999999999999997E-2</v>
      </c>
      <c r="H78" s="5">
        <v>883671</v>
      </c>
      <c r="I78" s="6" t="s">
        <v>11</v>
      </c>
      <c r="J78" s="8">
        <f t="shared" si="18"/>
        <v>268019.12812499999</v>
      </c>
      <c r="K78" s="5">
        <f t="shared" si="14"/>
        <v>615651.87187499995</v>
      </c>
      <c r="L78" s="16">
        <f t="shared" si="15"/>
        <v>0.69669806056213224</v>
      </c>
    </row>
    <row r="79" spans="1:12" x14ac:dyDescent="0.3">
      <c r="A79" s="7">
        <f t="shared" si="8"/>
        <v>45962</v>
      </c>
      <c r="B79" s="6">
        <f t="shared" si="13"/>
        <v>2025</v>
      </c>
      <c r="C79" s="6">
        <v>78</v>
      </c>
      <c r="D79" s="4">
        <v>383.94</v>
      </c>
      <c r="E79" s="17">
        <f t="shared" si="16"/>
        <v>388.24333333333334</v>
      </c>
      <c r="F79" s="19">
        <f t="shared" si="17"/>
        <v>0</v>
      </c>
      <c r="G79" s="13">
        <v>3.7999999999999999E-2</v>
      </c>
      <c r="H79" s="5">
        <v>883671</v>
      </c>
      <c r="I79" s="6" t="s">
        <v>12</v>
      </c>
      <c r="J79" s="8">
        <f t="shared" si="18"/>
        <v>268019.12812499999</v>
      </c>
      <c r="K79" s="5">
        <f t="shared" si="14"/>
        <v>615651.87187499995</v>
      </c>
      <c r="L79" s="16">
        <f t="shared" si="15"/>
        <v>0.69669806056213224</v>
      </c>
    </row>
    <row r="80" spans="1:12" x14ac:dyDescent="0.3">
      <c r="A80" s="7">
        <f t="shared" si="8"/>
        <v>45992</v>
      </c>
      <c r="B80" s="6">
        <f t="shared" si="13"/>
        <v>2025</v>
      </c>
      <c r="C80" s="6">
        <v>79</v>
      </c>
      <c r="D80" s="4">
        <v>384.43</v>
      </c>
      <c r="E80" s="17">
        <f t="shared" si="16"/>
        <v>385.97333333333336</v>
      </c>
      <c r="F80" s="19">
        <f t="shared" si="17"/>
        <v>0</v>
      </c>
      <c r="G80" s="13">
        <v>3.3000000000000002E-2</v>
      </c>
      <c r="H80" s="5">
        <v>883671</v>
      </c>
      <c r="I80" s="6" t="s">
        <v>13</v>
      </c>
      <c r="J80" s="8">
        <f t="shared" si="18"/>
        <v>268019.12812499999</v>
      </c>
      <c r="K80" s="5">
        <f t="shared" si="14"/>
        <v>615651.87187499995</v>
      </c>
      <c r="L80" s="16">
        <f t="shared" si="15"/>
        <v>0.69669806056213224</v>
      </c>
    </row>
    <row r="81" spans="1:12" x14ac:dyDescent="0.3">
      <c r="A81" s="7">
        <f t="shared" ref="A81:A82" si="19">EDATE(A80,1)</f>
        <v>46023</v>
      </c>
      <c r="B81" s="6">
        <f t="shared" si="13"/>
        <v>2026</v>
      </c>
      <c r="C81" s="6">
        <v>80</v>
      </c>
      <c r="D81" s="4">
        <v>383.55</v>
      </c>
      <c r="E81" s="17">
        <f t="shared" si="16"/>
        <v>383.97333333333336</v>
      </c>
      <c r="F81" s="19">
        <f t="shared" si="17"/>
        <v>0</v>
      </c>
      <c r="G81" s="13">
        <v>2.1000000000000001E-2</v>
      </c>
      <c r="H81" s="5">
        <v>1001048</v>
      </c>
      <c r="I81" s="6" t="s">
        <v>14</v>
      </c>
      <c r="J81" s="15">
        <f>J80*1.05</f>
        <v>281420.08453125</v>
      </c>
      <c r="K81" s="5">
        <f t="shared" si="14"/>
        <v>719627.91546875006</v>
      </c>
      <c r="L81" s="16">
        <f>K81/H81</f>
        <v>0.71887453495611608</v>
      </c>
    </row>
    <row r="82" spans="1:12" x14ac:dyDescent="0.3">
      <c r="A82" s="7">
        <f t="shared" si="19"/>
        <v>46054</v>
      </c>
      <c r="B82" s="6">
        <f t="shared" si="13"/>
        <v>2026</v>
      </c>
      <c r="C82" s="6">
        <v>81</v>
      </c>
      <c r="D82" s="4">
        <v>378.17</v>
      </c>
      <c r="E82" s="17">
        <f t="shared" si="16"/>
        <v>382.05</v>
      </c>
      <c r="F82" s="19">
        <f t="shared" si="17"/>
        <v>0</v>
      </c>
      <c r="G82" s="13">
        <v>0.02</v>
      </c>
      <c r="H82" s="5">
        <v>1001048</v>
      </c>
      <c r="I82" s="6" t="s">
        <v>15</v>
      </c>
      <c r="J82" s="8">
        <f>$J$81</f>
        <v>281420.08453125</v>
      </c>
      <c r="K82" s="5">
        <f t="shared" si="14"/>
        <v>719627.91546875006</v>
      </c>
      <c r="L82" s="16">
        <f t="shared" si="15"/>
        <v>0.71887453495611608</v>
      </c>
    </row>
  </sheetData>
  <phoneticPr fontId="2" type="noConversion"/>
  <conditionalFormatting sqref="E2:E1048576">
    <cfRule type="expression" dxfId="2" priority="1">
      <formula>E3&lt;D3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Monthly_Data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Chen</dc:creator>
  <cp:lastModifiedBy>Chen Alice</cp:lastModifiedBy>
  <dcterms:created xsi:type="dcterms:W3CDTF">2015-06-05T18:19:34Z</dcterms:created>
  <dcterms:modified xsi:type="dcterms:W3CDTF">2026-03-06T07:33:06Z</dcterms:modified>
</cp:coreProperties>
</file>